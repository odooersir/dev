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autyneteurope1.sharepoint.com/salesteamfiles/06 Fragrance/01 Main Stock Offers/"/>
    </mc:Choice>
  </mc:AlternateContent>
  <xr:revisionPtr revIDLastSave="0" documentId="11_DCF53A4B809612F6EF1E7DEA026569C1DF144F5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autynet Off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3" i="1" l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57" i="1"/>
  <c r="J156" i="1"/>
  <c r="J155" i="1"/>
  <c r="J154" i="1"/>
  <c r="J153" i="1"/>
  <c r="J152" i="1"/>
  <c r="J151" i="1"/>
  <c r="J150" i="1"/>
  <c r="J149" i="1"/>
  <c r="J148" i="1"/>
  <c r="J147" i="1"/>
  <c r="J143" i="1"/>
  <c r="J142" i="1"/>
  <c r="J141" i="1"/>
  <c r="J140" i="1"/>
  <c r="J139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213" i="1" l="1"/>
</calcChain>
</file>

<file path=xl/sharedStrings.xml><?xml version="1.0" encoding="utf-8"?>
<sst xmlns="http://schemas.openxmlformats.org/spreadsheetml/2006/main" count="537" uniqueCount="398">
  <si>
    <r>
      <rPr>
        <b/>
        <sz val="11"/>
        <color rgb="FF000000"/>
        <rFont val="Calibri"/>
        <family val="2"/>
      </rPr>
      <t>Please order in full carton qty only</t>
    </r>
  </si>
  <si>
    <r>
      <rPr>
        <b/>
        <sz val="11"/>
        <color rgb="FF000000"/>
        <rFont val="Calibri"/>
        <family val="2"/>
      </rPr>
      <t>Prices in EUR</t>
    </r>
  </si>
  <si>
    <r>
      <rPr>
        <b/>
        <sz val="11"/>
        <color rgb="FF000000"/>
        <rFont val="Calibri"/>
        <family val="2"/>
      </rPr>
      <t>ALL GOODS ARE EU CLEAN</t>
    </r>
  </si>
  <si>
    <r>
      <rPr>
        <b/>
        <sz val="11"/>
        <color rgb="FF000000"/>
        <rFont val="Calibri"/>
        <family val="2"/>
      </rPr>
      <t>Goods Offered Subject Unsold</t>
    </r>
  </si>
  <si>
    <t>Women</t>
  </si>
  <si>
    <t>EAN</t>
  </si>
  <si>
    <t>Product Name</t>
  </si>
  <si>
    <t>Stock Available</t>
  </si>
  <si>
    <t>Ctn Qty</t>
  </si>
  <si>
    <t>Price up to 99 pcs</t>
  </si>
  <si>
    <t>Price 100-239 pcs</t>
  </si>
  <si>
    <t>Price 240 pcs+</t>
  </si>
  <si>
    <t>Order</t>
  </si>
  <si>
    <t>Total</t>
  </si>
  <si>
    <t xml:space="preserve">0810101501715 </t>
  </si>
  <si>
    <t>Ariana Grande God is a Woman (W) Body Mist 236ml</t>
  </si>
  <si>
    <t xml:space="preserve">0812256027591 </t>
  </si>
  <si>
    <t>Ariana Grande Thank U Next 2.0 (W) Body Mist 236ml</t>
  </si>
  <si>
    <t xml:space="preserve">3616303393069 </t>
  </si>
  <si>
    <t>Bourjois La Formidable (W) EDP 50ml</t>
  </si>
  <si>
    <t xml:space="preserve">3616304827181 </t>
  </si>
  <si>
    <t>Bourjois Mon Bourjois La Captivante (W) EDP 50ml</t>
  </si>
  <si>
    <t xml:space="preserve">3616303393090 </t>
  </si>
  <si>
    <t>Bourjois Mon Bourjois Rose Exquise (W) EDP 100ml</t>
  </si>
  <si>
    <t xml:space="preserve">0719346621236 </t>
  </si>
  <si>
    <t>Britney Spears Curious (W) Fine Fragrance Mist 236ml</t>
  </si>
  <si>
    <t xml:space="preserve">0719346630856 </t>
  </si>
  <si>
    <t>Britney Spears Island Fantasy (W) Fine Fragrance Mist 236ml</t>
  </si>
  <si>
    <t xml:space="preserve">0719346233439 </t>
  </si>
  <si>
    <t>Britney Spears Perogative (W) Fine Fragrance Mist 236ml</t>
  </si>
  <si>
    <t xml:space="preserve">3607342401860 </t>
  </si>
  <si>
    <t>Calvin Klein CK One Shock (W) EDT 200ml</t>
  </si>
  <si>
    <t>2400+</t>
  </si>
  <si>
    <t xml:space="preserve">0088300602513 </t>
  </si>
  <si>
    <t>Calvin Klein Contradiction (W) EDP 100ml</t>
  </si>
  <si>
    <t xml:space="preserve">3614224821944 </t>
  </si>
  <si>
    <t>Calvin Klein Eternity Air (W) EDP 100ml</t>
  </si>
  <si>
    <t xml:space="preserve">0088300156009 </t>
  </si>
  <si>
    <t>Calvin Klein Eternity Moment (W) EDP 30ml</t>
  </si>
  <si>
    <t xml:space="preserve">0088300603404 </t>
  </si>
  <si>
    <t>Calvin Klein Obsession (W) EDP 100ml</t>
  </si>
  <si>
    <t xml:space="preserve">8411061711774 </t>
  </si>
  <si>
    <t>Carolina Herrera 212 VIP (W) EDP 30ml</t>
  </si>
  <si>
    <t>Special Offer</t>
  </si>
  <si>
    <t xml:space="preserve">5012209042441 </t>
  </si>
  <si>
    <t>Coty L'Aimant (W) EDT 50ml</t>
  </si>
  <si>
    <t xml:space="preserve">3414202011820 </t>
  </si>
  <si>
    <t>Davidoff Cool Water (W) EDT 30ml</t>
  </si>
  <si>
    <t xml:space="preserve">3607347462620 </t>
  </si>
  <si>
    <t>Davidoff Cool Water Sea Rose (W) EDT 30ml</t>
  </si>
  <si>
    <t xml:space="preserve">0085805554927 </t>
  </si>
  <si>
    <t>Elizabeth Arden Green Tea (W) Body Mist 236ml</t>
  </si>
  <si>
    <t xml:space="preserve">3616305869371 </t>
  </si>
  <si>
    <t>Escada Magnetic Dream (W) EDP 75ml</t>
  </si>
  <si>
    <t xml:space="preserve">3614227293960 </t>
  </si>
  <si>
    <t>Escada Magnetism (W) EDP 75ml</t>
  </si>
  <si>
    <t xml:space="preserve">0719346213806 </t>
  </si>
  <si>
    <t>Giorgio Beverly Hills Red (W) Body Mist 236ml</t>
  </si>
  <si>
    <t xml:space="preserve">3346470114746 </t>
  </si>
  <si>
    <t>Guerlain La Petite Robe Noire (W) EDT 100ml</t>
  </si>
  <si>
    <t xml:space="preserve">3616305616203 </t>
  </si>
  <si>
    <t>Hugo Boss Alive Absolu Intense (W) EDP 30ml</t>
  </si>
  <si>
    <t xml:space="preserve">3616305616210 </t>
  </si>
  <si>
    <t>Hugo Boss Alive Absolu Intense (W) EDP 50ml</t>
  </si>
  <si>
    <t xml:space="preserve">3616302968244 </t>
  </si>
  <si>
    <t>Hugo Boss Alive Intense (W) EDP 80ml</t>
  </si>
  <si>
    <t xml:space="preserve">3616307201216 </t>
  </si>
  <si>
    <t>Hugo Boss Boss Femme (W) EDP 30ml</t>
  </si>
  <si>
    <t xml:space="preserve">3616307201193 </t>
  </si>
  <si>
    <t>Hugo Boss Boss Ma Vie (W) EDP 30ml</t>
  </si>
  <si>
    <t xml:space="preserve">3616306721746 </t>
  </si>
  <si>
    <t>Hugo Boss Hugo (W) EDP 75ml</t>
  </si>
  <si>
    <t xml:space="preserve">3616306721722 </t>
  </si>
  <si>
    <t>Hugo Boss Hugo Deep Red (W) EDP 75ml</t>
  </si>
  <si>
    <t xml:space="preserve">3607342216754 </t>
  </si>
  <si>
    <t>Jil Sander Eve (W) EDT 30ml</t>
  </si>
  <si>
    <t xml:space="preserve">3607347595038 </t>
  </si>
  <si>
    <t>Jil Sander Evergreen (W) EDT 30ml</t>
  </si>
  <si>
    <t xml:space="preserve">3414200755023 </t>
  </si>
  <si>
    <t>Jil Sander Sport (W) EDT 30ml</t>
  </si>
  <si>
    <t xml:space="preserve">3616301785248 </t>
  </si>
  <si>
    <t>Jil Sander Sun (W) EDP 125ml</t>
  </si>
  <si>
    <t xml:space="preserve">3616301785170 </t>
  </si>
  <si>
    <t>Jil Sander Sun (W) Parfum 75ml</t>
  </si>
  <si>
    <t xml:space="preserve">3616304493454 </t>
  </si>
  <si>
    <t>Jil Sander Sunset Intense (W) EDP 30ml</t>
  </si>
  <si>
    <t xml:space="preserve">3414206000165 </t>
  </si>
  <si>
    <t>Joop Le Bain (W) EDP 75ml</t>
  </si>
  <si>
    <t xml:space="preserve">0719346234306 </t>
  </si>
  <si>
    <t>Juicy Couture Bye Bye Blues (W) EDT 75ml</t>
  </si>
  <si>
    <t xml:space="preserve">0719346234276 </t>
  </si>
  <si>
    <t>Juicy Couture Oh So Orange (W) EDT 75ml</t>
  </si>
  <si>
    <t xml:space="preserve">0719346245500 </t>
  </si>
  <si>
    <t>Juicy Couture Palm Trees Please (W) EDT 75ml</t>
  </si>
  <si>
    <t xml:space="preserve">0719346265034 </t>
  </si>
  <si>
    <t>Juicy Couture Viva La Juicy Neon (W) EDP 50ml</t>
  </si>
  <si>
    <t xml:space="preserve">0719346260053 </t>
  </si>
  <si>
    <t>Juicy Couture Viva La Juicy Petals Please (W) EDP 100ml</t>
  </si>
  <si>
    <t>New in</t>
  </si>
  <si>
    <t xml:space="preserve">0719346628372 </t>
  </si>
  <si>
    <t>Juicy Couture Viva La Juicy Rose (W) EDP 50ml</t>
  </si>
  <si>
    <t xml:space="preserve">3386460059114 </t>
  </si>
  <si>
    <t>Karl Lagerfeld Pour Femme (W) EDP 85ml</t>
  </si>
  <si>
    <t xml:space="preserve">3454960014664 </t>
  </si>
  <si>
    <t>Lalique De Lalique (W) EDP 100ml</t>
  </si>
  <si>
    <t xml:space="preserve">7640171196930 </t>
  </si>
  <si>
    <t>Lalique White in Black (W) EDP 125ml</t>
  </si>
  <si>
    <t xml:space="preserve">3616301776000 </t>
  </si>
  <si>
    <t>Marc Jacobs Daisy Eau So Intense (W) EDP 30ml</t>
  </si>
  <si>
    <t xml:space="preserve">3614225452079 </t>
  </si>
  <si>
    <t>Marc Jacobs Daisy Love (W) EDT 50ml</t>
  </si>
  <si>
    <t xml:space="preserve">3614227372344 </t>
  </si>
  <si>
    <t>Marc Jacobs Daisy Love Eau So Sweet (W) EDT 50ml</t>
  </si>
  <si>
    <t xml:space="preserve">3616305254542 </t>
  </si>
  <si>
    <t>Mexx Inspired Nature (W) Body Butter 200ml</t>
  </si>
  <si>
    <t xml:space="preserve">3616305254504 </t>
  </si>
  <si>
    <t>Mexx Inspired Nature (W) Body Lotion 150ml</t>
  </si>
  <si>
    <t xml:space="preserve">3616305254528 </t>
  </si>
  <si>
    <t>Mexx Inspired Nature (W) Body Oil 100ml</t>
  </si>
  <si>
    <t xml:space="preserve">3616305254481 </t>
  </si>
  <si>
    <t>Mexx Inspired Nature (W) Exfoliating Body Wash 200ml</t>
  </si>
  <si>
    <t xml:space="preserve">3616305254467 </t>
  </si>
  <si>
    <t>Mexx Inspired Nature (W) Shower Foam 150ml</t>
  </si>
  <si>
    <t xml:space="preserve">3616305254511 </t>
  </si>
  <si>
    <t>Mexx Inspired Warmth (W) Body Lotion 150ml</t>
  </si>
  <si>
    <t xml:space="preserve">3616305254535 </t>
  </si>
  <si>
    <t>Mexx Inspired Warmth (W) Body Oil 100ml</t>
  </si>
  <si>
    <t xml:space="preserve">3616305254498 </t>
  </si>
  <si>
    <t>Mexx Inspired Warmth (W) Exfoliating Body Wash 200ml</t>
  </si>
  <si>
    <t xml:space="preserve">3616305254474 </t>
  </si>
  <si>
    <t>Mexx Inspired Warmth (W) Shower Foam 150ml</t>
  </si>
  <si>
    <t xml:space="preserve">8011003061327 </t>
  </si>
  <si>
    <t>Moschino Cheap &amp; Chic (W) EDT 100ml</t>
  </si>
  <si>
    <t xml:space="preserve">8011003991457 </t>
  </si>
  <si>
    <t>Moschino Cheap &amp; Chic I Love Love (W) EDT 100ml</t>
  </si>
  <si>
    <t xml:space="preserve">8011003991136 </t>
  </si>
  <si>
    <t>Moschino Cheap &amp; Chic I Love Love (W) EDT 30ml</t>
  </si>
  <si>
    <t xml:space="preserve">3137370207016 </t>
  </si>
  <si>
    <t>Nina Ricci L'air Du Temps (W) EDT 100ml</t>
  </si>
  <si>
    <t xml:space="preserve">0679602611718 </t>
  </si>
  <si>
    <t>Police To Be Woman (W) EDP 200ml</t>
  </si>
  <si>
    <t xml:space="preserve">0810023675723 </t>
  </si>
  <si>
    <t>Sabrina Carpenter Caramel Dream (W) Body Mist 236ml</t>
  </si>
  <si>
    <t xml:space="preserve">0810023678663 </t>
  </si>
  <si>
    <t>Sabrina Carpenter Caramel Dream (W) EDP 30ml</t>
  </si>
  <si>
    <t xml:space="preserve">0810023677482 </t>
  </si>
  <si>
    <t>Sabrina Carpenter Cherry Baby (W) Body Mist 236ml</t>
  </si>
  <si>
    <t xml:space="preserve">0810023678656 </t>
  </si>
  <si>
    <t>Sabrina Carpenter Cherry Baby (W) EDP 30ml</t>
  </si>
  <si>
    <t xml:space="preserve">0810023678878 </t>
  </si>
  <si>
    <t>Sabrina Carpenter Me Espresso (W) Body Mist 236ml</t>
  </si>
  <si>
    <t xml:space="preserve">0810023678861 </t>
  </si>
  <si>
    <t>Sabrina Carpenter Me Espresso (W) EDP 30ml</t>
  </si>
  <si>
    <t xml:space="preserve">0810023675686 </t>
  </si>
  <si>
    <t>Sabrina Carpenter Sweet Tooth (W) Body Mist 236ml</t>
  </si>
  <si>
    <t xml:space="preserve">0810023678694 </t>
  </si>
  <si>
    <t xml:space="preserve">0810023678670 </t>
  </si>
  <si>
    <t>Sabrina Carpenter Sweet Tooth (W) EDP 30ml</t>
  </si>
  <si>
    <t xml:space="preserve">3614220847337 </t>
  </si>
  <si>
    <t>Vera Wang Embrace Green Tea And Pear Blossom (W) EDT 30ml</t>
  </si>
  <si>
    <t xml:space="preserve">8011003823529 </t>
  </si>
  <si>
    <t>Versace Eros Pour Femme (W) EDP 50ml</t>
  </si>
  <si>
    <t xml:space="preserve">8011003827336 </t>
  </si>
  <si>
    <t>Versace Eros Pour Femme (W) EDT 50ml</t>
  </si>
  <si>
    <t>Men</t>
  </si>
  <si>
    <t xml:space="preserve">3386460036528 </t>
  </si>
  <si>
    <t>Boucheron Jaipur Homme (M) EDP 100ml</t>
  </si>
  <si>
    <t xml:space="preserve">3607342020849 </t>
  </si>
  <si>
    <t>Calvin Klein CK Free (M) Deo Stick 75g</t>
  </si>
  <si>
    <t xml:space="preserve">0031655644851 </t>
  </si>
  <si>
    <t>Calvin Klein CK Man (M) EDT 100ml</t>
  </si>
  <si>
    <t xml:space="preserve">0031655644295 </t>
  </si>
  <si>
    <t>Calvin Klein CK Man (M) EDT 50ml</t>
  </si>
  <si>
    <t xml:space="preserve">3607342401341 </t>
  </si>
  <si>
    <t>Calvin Klein CK One Shock (M) EDT 100ml</t>
  </si>
  <si>
    <t xml:space="preserve">3607342401426 </t>
  </si>
  <si>
    <t>Calvin Klein CK One Shock (M) EDT 200ml</t>
  </si>
  <si>
    <t xml:space="preserve">3614224871284 </t>
  </si>
  <si>
    <t>Calvin Klein Eternity Air (M) EDT 100ml</t>
  </si>
  <si>
    <t xml:space="preserve">0088300178445 </t>
  </si>
  <si>
    <t>Calvin Klein Euphoria (M) Deo Stick 75g</t>
  </si>
  <si>
    <t xml:space="preserve">0088300606511 </t>
  </si>
  <si>
    <t>Calvin Klein Obsession (M) EDT 125ml</t>
  </si>
  <si>
    <t xml:space="preserve">0088300606702 </t>
  </si>
  <si>
    <t>Calvin Klein Obsession for Men (M) Deo Stick 75g</t>
  </si>
  <si>
    <t xml:space="preserve">0088300150458 </t>
  </si>
  <si>
    <t>Calvin Klein Obsession Night (M) EDT 125ml</t>
  </si>
  <si>
    <t xml:space="preserve">8411061099780 </t>
  </si>
  <si>
    <t>Carolina Herrera Bad Boy Extreme (M) EDP 100ml</t>
  </si>
  <si>
    <t xml:space="preserve">5050456522774 </t>
  </si>
  <si>
    <t>Cerruti 1881 Pour Homme (M) EDT 25ml</t>
  </si>
  <si>
    <t xml:space="preserve">0031655085715 </t>
  </si>
  <si>
    <t>Coty Musk For Men (M) Cologne Spray 44ml</t>
  </si>
  <si>
    <t xml:space="preserve">3607340188602 </t>
  </si>
  <si>
    <t>Davidoff Champion (M) EDT 90ml</t>
  </si>
  <si>
    <t xml:space="preserve">3614223708741 </t>
  </si>
  <si>
    <t>Davidoff Cool Water (M) All Over Body Spray 150ml</t>
  </si>
  <si>
    <t xml:space="preserve">3616305638373 </t>
  </si>
  <si>
    <t>Davidoff Essentials Blue (M) EDT 110ml</t>
  </si>
  <si>
    <t xml:space="preserve">3414200908559 </t>
  </si>
  <si>
    <t>Davidoff Hot Water (M) EDT 60ml</t>
  </si>
  <si>
    <t xml:space="preserve">3607341186805 </t>
  </si>
  <si>
    <t>Davidoff The Game (M) EDT 100ml</t>
  </si>
  <si>
    <t xml:space="preserve">0737052351186 </t>
  </si>
  <si>
    <t>Hugo Boss Boss Bottled (M) After Shave 100ml</t>
  </si>
  <si>
    <t xml:space="preserve">0737052352060 </t>
  </si>
  <si>
    <t>Hugo Boss Boss Bottled Night (M) EDT 100ml</t>
  </si>
  <si>
    <t xml:space="preserve">3616306661264 </t>
  </si>
  <si>
    <t>Hugo Boss Boss Bottled Tonic (M) EDT 100ml</t>
  </si>
  <si>
    <t xml:space="preserve">0737052766775 </t>
  </si>
  <si>
    <t>Hugo Boss Boss Bottled Unlimited (M) EDT 100ml</t>
  </si>
  <si>
    <t xml:space="preserve">3616301623359 </t>
  </si>
  <si>
    <t>Hugo Boss Boss Orange (2021) (M) EDT 100ml</t>
  </si>
  <si>
    <t xml:space="preserve">0737052354996 </t>
  </si>
  <si>
    <t>Hugo Boss Bottled (M) Deo Stick 75ml</t>
  </si>
  <si>
    <t xml:space="preserve">8005610340784 </t>
  </si>
  <si>
    <t>Hugo Boss Hugo (M) Deo Spray 150ml</t>
  </si>
  <si>
    <t xml:space="preserve">0737052320441 </t>
  </si>
  <si>
    <t>Hugo Boss Hugo (M) Deo Stick 75ml</t>
  </si>
  <si>
    <t xml:space="preserve">3616301623335 </t>
  </si>
  <si>
    <t>Hugo Boss Number One (M) EDT 100ml</t>
  </si>
  <si>
    <t xml:space="preserve">0737052992785 </t>
  </si>
  <si>
    <t>Hugo Boss The Scent (M) Deo Spray 150ml</t>
  </si>
  <si>
    <t xml:space="preserve">3414202955001 </t>
  </si>
  <si>
    <t>Jil Sander Sun (M) EDT 40ml</t>
  </si>
  <si>
    <t xml:space="preserve">3616301785224 </t>
  </si>
  <si>
    <t>Jil Sander Sun Men (M) Parfum 40ml</t>
  </si>
  <si>
    <t xml:space="preserve">3386460148719 </t>
  </si>
  <si>
    <t>Jimmy Choo Man Extreme (M) EDP 100ml</t>
  </si>
  <si>
    <t xml:space="preserve">3386460109383 </t>
  </si>
  <si>
    <t>Jimmy Choo Urban Hero (M) EDP 30ml</t>
  </si>
  <si>
    <t xml:space="preserve">3607348064489 </t>
  </si>
  <si>
    <t>Joop Go (M) Shower Gel 150ml</t>
  </si>
  <si>
    <t xml:space="preserve">3414206000714 </t>
  </si>
  <si>
    <t>Joop Homme (M) Deo Natural Spray 75ml</t>
  </si>
  <si>
    <t xml:space="preserve">3607345849867 </t>
  </si>
  <si>
    <t>Joop Homme Wild (M) EDT 125ml</t>
  </si>
  <si>
    <t xml:space="preserve">3614228858007 </t>
  </si>
  <si>
    <t>Joop! Homme (M) EDP 75ml</t>
  </si>
  <si>
    <t xml:space="preserve">3614222571629 </t>
  </si>
  <si>
    <t>Joop! Wow (M) EDT 40ml</t>
  </si>
  <si>
    <t xml:space="preserve">0035017009104 </t>
  </si>
  <si>
    <t>Jovan Musk For Men (M) After Shave Cologne 236ml</t>
  </si>
  <si>
    <t xml:space="preserve">0035017008145 </t>
  </si>
  <si>
    <t>Jovan White Musk For Men (M) EDC 88ml</t>
  </si>
  <si>
    <t xml:space="preserve">3386460059183 </t>
  </si>
  <si>
    <t>Karl Lagerfeld Pour Homme (M) EDT 100ml</t>
  </si>
  <si>
    <t xml:space="preserve">3386460135818 </t>
  </si>
  <si>
    <t>Montblanc Explorer Platinum (M) EDP 100ml</t>
  </si>
  <si>
    <t xml:space="preserve">3386460127981 </t>
  </si>
  <si>
    <t>Montblanc Legend Red (M) EDP 30ml</t>
  </si>
  <si>
    <t xml:space="preserve">8011003845354 </t>
  </si>
  <si>
    <t>Versace Eros Flame (M) EDP 100ml</t>
  </si>
  <si>
    <t xml:space="preserve">8011003895755 </t>
  </si>
  <si>
    <t>Versace Eros Najim (M) EDP 100ml</t>
  </si>
  <si>
    <t xml:space="preserve">8011003996766 </t>
  </si>
  <si>
    <t>Versace The Dreamer (M) EDT 100ml</t>
  </si>
  <si>
    <t>Unisex</t>
  </si>
  <si>
    <t xml:space="preserve">3614225971518 </t>
  </si>
  <si>
    <t>Calvin Klein CK One (U) Deo Spray 150ml</t>
  </si>
  <si>
    <t xml:space="preserve">0088300108978 </t>
  </si>
  <si>
    <t>Calvin Klein CK One (U) Deo Stick 75g</t>
  </si>
  <si>
    <t xml:space="preserve">3614221537763 </t>
  </si>
  <si>
    <t>Calvin Klein CK One Gold (U) EDT 100ml</t>
  </si>
  <si>
    <t xml:space="preserve">3386460143271 </t>
  </si>
  <si>
    <t>Montblanc Extreme Leather (U) EDP 125ml</t>
  </si>
  <si>
    <t xml:space="preserve">3386460143295 </t>
  </si>
  <si>
    <t>Montblanc Vetiver Glacier (U) EDP 125ml</t>
  </si>
  <si>
    <t>Sets</t>
  </si>
  <si>
    <t xml:space="preserve">3616306096899 </t>
  </si>
  <si>
    <t>Chloe Signature Intense (W) EDP 50ml + BL 100ml</t>
  </si>
  <si>
    <t xml:space="preserve">3616306129016 </t>
  </si>
  <si>
    <t xml:space="preserve">3616305278371 </t>
  </si>
  <si>
    <t>Gucci Guilty Pour Femme (W) EDP 50ml + BL 50ml</t>
  </si>
  <si>
    <t xml:space="preserve">3616306127968 </t>
  </si>
  <si>
    <t>Hugo Boss Boss Alive (W) EDP 30ml + Hand &amp; Body Lotion 50ml</t>
  </si>
  <si>
    <t xml:space="preserve">3616306127920 </t>
  </si>
  <si>
    <t>Hugo Boss Boss The Scent (M) EDT 50ml + Deo Spray 150ml</t>
  </si>
  <si>
    <t xml:space="preserve">3616305265227 </t>
  </si>
  <si>
    <t>Hugo Boss Boss The Scent For Her (W) EDP 30ml + BL 50ml</t>
  </si>
  <si>
    <t xml:space="preserve">3616305947116 </t>
  </si>
  <si>
    <t>Lancaster Skin Care 365 4Th Gen (W) 365 Skin Repair Kit: Serum 50ml + Facial Toner 30ml + Day Cream 15ml + Eye Contour Serum 5ml</t>
  </si>
  <si>
    <t xml:space="preserve">3616305630254 </t>
  </si>
  <si>
    <t>Lancaster Sun Care (W) My Sun Routine Duo SET Sun Body Dry Oil 150ml SPF30 + After Sun Tan Maximizer 125ml</t>
  </si>
  <si>
    <t xml:space="preserve">3616305630063 </t>
  </si>
  <si>
    <t>Lancaster Sun Care (W) My Sun Routine Duo SET: Sun Body Milk 175ml SPF50 + After Sun Tan Maximizer 125ml</t>
  </si>
  <si>
    <t xml:space="preserve">3616305630117 </t>
  </si>
  <si>
    <t>Lancaster Sun Care (W) My Sun Routine Trio SET: Sun Body Milk 50ml SPF30 + After Sun Tan Maximizer 50ml + Sun Face Cream 3ml SPF30</t>
  </si>
  <si>
    <t xml:space="preserve">3349668628520 </t>
  </si>
  <si>
    <t>Paco Rabanne Fame (W) SET (EDP 50ml + EDP 10ml)</t>
  </si>
  <si>
    <t>Cosmetics</t>
  </si>
  <si>
    <t xml:space="preserve">0085805559090 </t>
  </si>
  <si>
    <t>Elizabeth Arden Advanced Ceramide Capsules Daily Youth Restoring Eye Serum 60 pcs</t>
  </si>
  <si>
    <t xml:space="preserve">0085805411169 </t>
  </si>
  <si>
    <t>Elizabeth Arden Advanced Ceramide Lift and Firm Day Cream SPF 15 50ml</t>
  </si>
  <si>
    <t xml:space="preserve">0085805410964 </t>
  </si>
  <si>
    <t>Elizabeth Arden Advanced Ceramide Lift And Firm Night Cream 50ml</t>
  </si>
  <si>
    <t xml:space="preserve">0085805029852 </t>
  </si>
  <si>
    <t>Elizabeth Arden Green Tea Honey Drops Body Cream 400ml</t>
  </si>
  <si>
    <t xml:space="preserve">0085805556020 </t>
  </si>
  <si>
    <t>Elizabeth Arden Lasting Impression Mascara Black 8.5ml</t>
  </si>
  <si>
    <t xml:space="preserve">0085805535599 </t>
  </si>
  <si>
    <t>Elizabeth Arden Prevage Anti-Aging Neck And Decollete Firm &amp; Repair Cream 50ml</t>
  </si>
  <si>
    <t xml:space="preserve">0085805259471 </t>
  </si>
  <si>
    <t>Elizabeth Arden Prevage Anti-Aging Overnight Cream 50ml</t>
  </si>
  <si>
    <t xml:space="preserve">0085805525279 </t>
  </si>
  <si>
    <t>Elizabeth Arden Retinol &amp; HPR Ceramide Capsules 90  Pcs</t>
  </si>
  <si>
    <t xml:space="preserve">0085805569105 </t>
  </si>
  <si>
    <t>Elizabeth Arden Standing Ovation Mascara Intense Black 8.2ml</t>
  </si>
  <si>
    <t xml:space="preserve">0085805189945 </t>
  </si>
  <si>
    <t>Elizabeth Arden Superstart Skin Renewal Booster 30ml</t>
  </si>
  <si>
    <t xml:space="preserve">3350900000295 </t>
  </si>
  <si>
    <t>Embryolisse 3-In-1 Micellar Lotion 250ml</t>
  </si>
  <si>
    <t xml:space="preserve">3350900001995 </t>
  </si>
  <si>
    <t>Embryolisse Complete Serum 30ml</t>
  </si>
  <si>
    <t xml:space="preserve">3350900001759 </t>
  </si>
  <si>
    <t>Embryolisse Filaderme Emulsion 75ml</t>
  </si>
  <si>
    <t xml:space="preserve">3350900001988 </t>
  </si>
  <si>
    <t>Embryolisse Intense Lift Eye Cream 15ml</t>
  </si>
  <si>
    <t xml:space="preserve">3350900002053 </t>
  </si>
  <si>
    <t>Embryolisse Lift-Firming Cream 50ml</t>
  </si>
  <si>
    <t xml:space="preserve">3264680034664 </t>
  </si>
  <si>
    <t>Nuxe Hair Prodigieux High Shine Conditioner 200ml</t>
  </si>
  <si>
    <t xml:space="preserve">3264680034695 </t>
  </si>
  <si>
    <t>Nuxe Hair Prodigieux High Shine Shampoo 200ml</t>
  </si>
  <si>
    <t xml:space="preserve">3264680039881 </t>
  </si>
  <si>
    <t>Nuxe Hair Prodigieux Intense Nourishing Leave-In Cream 100ml</t>
  </si>
  <si>
    <t xml:space="preserve">3264680009778 </t>
  </si>
  <si>
    <t>Nuxe Huile Prodigeuse Or Multi Purpose Dry Oil 100ml</t>
  </si>
  <si>
    <t xml:space="preserve">3264680009754 </t>
  </si>
  <si>
    <t>Nuxe Huile Prodigieuse Dry Oil 100ml</t>
  </si>
  <si>
    <t xml:space="preserve">3264680015946 </t>
  </si>
  <si>
    <t>Nuxe Huile Prodigieuse Florale Oil 100ml</t>
  </si>
  <si>
    <t xml:space="preserve">3264680042188 </t>
  </si>
  <si>
    <t>Nuxe Huile Prodigieuse Multi Purpose Dry Oil Roll-On 60ml</t>
  </si>
  <si>
    <t xml:space="preserve">3264680009761 </t>
  </si>
  <si>
    <t>Nuxe Huile Prodigieuse Multi-Purpose Dry Oil 50ml</t>
  </si>
  <si>
    <t xml:space="preserve">3264680024993 </t>
  </si>
  <si>
    <t>Nuxe Huile Prodigieuse Neroli Oil 100ml</t>
  </si>
  <si>
    <t xml:space="preserve">3264680038334 </t>
  </si>
  <si>
    <t>Nuxe Huile Prodigieuse Or Florale Oil 50ml</t>
  </si>
  <si>
    <t xml:space="preserve">3264680009785 </t>
  </si>
  <si>
    <t>Nuxe Hulie Prodigieuse Or Oil 50ml</t>
  </si>
  <si>
    <t xml:space="preserve">3264680024771 </t>
  </si>
  <si>
    <t>Nuxe Merveillance Lift Firming Activating Oil Serum 30ml</t>
  </si>
  <si>
    <t xml:space="preserve">3264680026089 </t>
  </si>
  <si>
    <t>Nuxe Merveillance Lift Firming Powdery Cream 50ml</t>
  </si>
  <si>
    <t xml:space="preserve">3264680034510 </t>
  </si>
  <si>
    <t>Nuxe Nuxuriance Ultra Targeted Eye &amp; Lip Contour Cream 15ml</t>
  </si>
  <si>
    <t xml:space="preserve">3264680034497 </t>
  </si>
  <si>
    <t>Nuxe Nuxuriance Ultra The Dark Spot Correcting Serum 30ml</t>
  </si>
  <si>
    <t xml:space="preserve">3264680023323 </t>
  </si>
  <si>
    <t>Nuxe Super Serum The Universal Age-Defying Concentrate 30ml</t>
  </si>
  <si>
    <t xml:space="preserve">3264680047572 </t>
  </si>
  <si>
    <t>Nuxe Very Rose Biphase Waterproof Eye &amp; Lip Make-Up Remover 100ml</t>
  </si>
  <si>
    <t xml:space="preserve">3264680043383 </t>
  </si>
  <si>
    <t>Nuxe Very Rose Light Cleansing Foam 150ml</t>
  </si>
  <si>
    <t xml:space="preserve">3264680043529 </t>
  </si>
  <si>
    <t>Nuxe Very Rose Plumping Lip Serum 8ml</t>
  </si>
  <si>
    <t xml:space="preserve">3264680043376 </t>
  </si>
  <si>
    <t>Nuxe Very Rose Refreshing Tonic Lotion 200ml</t>
  </si>
  <si>
    <t xml:space="preserve">3264680043444 </t>
  </si>
  <si>
    <t>Nuxe Very Rose Soothing Cleansing Micellar Water 200ml</t>
  </si>
  <si>
    <t xml:space="preserve">3264680043451 </t>
  </si>
  <si>
    <t>Nuxe Very Rose Soothing Cleansing Micellar Water 400ml</t>
  </si>
  <si>
    <t xml:space="preserve">3390150583261 </t>
  </si>
  <si>
    <t>Payot Lisse Plumping Booster Serum 50ml</t>
  </si>
  <si>
    <t xml:space="preserve">3390150595639 </t>
  </si>
  <si>
    <t>Payot Lisse Rich Wrinkle Smoothing Cream 50ml</t>
  </si>
  <si>
    <t xml:space="preserve">3390150591761 </t>
  </si>
  <si>
    <t>Payot My Payot Healthy Glow Radiance Oil 30ml</t>
  </si>
  <si>
    <t xml:space="preserve">3390150598784 </t>
  </si>
  <si>
    <t>Payot Neo-Serum Rejuvenating Concentrate 30ml</t>
  </si>
  <si>
    <t xml:space="preserve">3390150583681 </t>
  </si>
  <si>
    <t>Payot Nue Radiance-Boosting Toning Lotion 200ml</t>
  </si>
  <si>
    <t xml:space="preserve">3390150582844 </t>
  </si>
  <si>
    <t>Payot Pate Grise Purifying Exfoliating Stick 25g</t>
  </si>
  <si>
    <t xml:space="preserve">3390150597411 </t>
  </si>
  <si>
    <t>Payot Pate Grise Stop Pimple Original Paste 15ml</t>
  </si>
  <si>
    <t xml:space="preserve">3390150586224 </t>
  </si>
  <si>
    <t>Payot Rituel Douceur 24hr Anti-Perspirant Roll-On Deodorant Alcohol Free 75ml</t>
  </si>
  <si>
    <t xml:space="preserve">3390150586231 </t>
  </si>
  <si>
    <t>Payot Rituel Douceur 24hr Freshness Roll-On Deodorant Alcohol Free 75ml</t>
  </si>
  <si>
    <t xml:space="preserve">3390150587672 </t>
  </si>
  <si>
    <t>Payot Rituel Douceur 48hr Anti-Perspirant Deodorant Spray Alcohol Free 125ml</t>
  </si>
  <si>
    <t xml:space="preserve">3390150585869 </t>
  </si>
  <si>
    <t>Payot Roselift Lifting Day Cream 50ml</t>
  </si>
  <si>
    <t xml:space="preserve">3390150592690 </t>
  </si>
  <si>
    <t>Payot Roselift Lifting Infusion 125ml</t>
  </si>
  <si>
    <t xml:space="preserve">3390150592706 </t>
  </si>
  <si>
    <t>Payot Roselift Rose Lifting Cream 50ml</t>
  </si>
  <si>
    <t xml:space="preserve">3390150589171 </t>
  </si>
  <si>
    <t>Payot Source Adaptogen Moisturising Cream 50ml</t>
  </si>
  <si>
    <t xml:space="preserve">0810912032224 </t>
  </si>
  <si>
    <t>Sol de Janeiro Beija Flor Elasti-Cream 75ml</t>
  </si>
  <si>
    <r>
      <rPr>
        <b/>
        <sz val="11"/>
        <color rgb="FF000000"/>
        <rFont val="Calibri"/>
        <family val="2"/>
      </rPr>
      <t>Delivery Terms</t>
    </r>
    <r>
      <rPr>
        <sz val="11"/>
        <color rgb="FF000000"/>
        <rFont val="Calibri"/>
        <family val="2"/>
      </rPr>
      <t xml:space="preserve"> - Ex Works / Herkenbosch NL</t>
    </r>
  </si>
  <si>
    <r>
      <rPr>
        <b/>
        <sz val="11"/>
        <color rgb="FF000000"/>
        <rFont val="Calibri"/>
        <family val="2"/>
      </rPr>
      <t>Lead Time</t>
    </r>
    <r>
      <rPr>
        <sz val="11"/>
        <color rgb="FF000000"/>
        <rFont val="Calibri"/>
        <family val="2"/>
      </rPr>
      <t xml:space="preserve"> - Stock</t>
    </r>
  </si>
  <si>
    <r>
      <rPr>
        <b/>
        <sz val="11"/>
        <color rgb="FF000000"/>
        <rFont val="Calibri"/>
        <family val="2"/>
      </rPr>
      <t>Min Order Quantity Value</t>
    </r>
    <r>
      <rPr>
        <sz val="11"/>
        <color rgb="FF000000"/>
        <rFont val="Calibri"/>
        <family val="2"/>
      </rPr>
      <t xml:space="preserve"> - €5,000.00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</si>
</sst>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* #,##0.00_);_(&quot;€&quot;* \(#,##0.00\);_(&quot;€&quot;* &quot;-&quot;??_);_(@_)"/>
  </numFmts>
  <fonts count="6" x14ac:knownFonts="1">
    <font>
      <sz val="11"/>
      <color rgb="FF000000"/>
      <name val="Calibri"/>
    </font>
    <font>
      <b/>
      <i/>
      <sz val="2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DE006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2AB"/>
        <bgColor rgb="FFFFE2AB"/>
      </patternFill>
    </fill>
    <fill>
      <patternFill patternType="solid">
        <fgColor rgb="FFDE0066"/>
        <bgColor rgb="FFDE0066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2" borderId="0" xfId="0" applyNumberFormat="1" applyFill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1" fillId="2" borderId="0" xfId="0" applyNumberFormat="1" applyFont="1" applyFill="1"/>
    <xf numFmtId="49" fontId="2" fillId="4" borderId="4" xfId="0" applyNumberFormat="1" applyFont="1" applyFill="1" applyBorder="1" applyAlignment="1">
      <alignment wrapText="1"/>
    </xf>
    <xf numFmtId="49" fontId="0" fillId="2" borderId="5" xfId="0" applyNumberFormat="1" applyFill="1" applyBorder="1"/>
    <xf numFmtId="49" fontId="3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/>
    <xf numFmtId="164" fontId="2" fillId="4" borderId="4" xfId="0" applyNumberFormat="1" applyFont="1" applyFill="1" applyBorder="1" applyAlignment="1">
      <alignment wrapText="1"/>
    </xf>
    <xf numFmtId="164" fontId="0" fillId="2" borderId="5" xfId="0" applyNumberFormat="1" applyFill="1" applyBorder="1"/>
    <xf numFmtId="1" fontId="0" fillId="2" borderId="0" xfId="0" applyNumberFormat="1" applyFill="1"/>
    <xf numFmtId="1" fontId="1" fillId="2" borderId="0" xfId="0" applyNumberFormat="1" applyFont="1" applyFill="1"/>
    <xf numFmtId="1" fontId="2" fillId="4" borderId="4" xfId="0" applyNumberFormat="1" applyFont="1" applyFill="1" applyBorder="1" applyAlignment="1">
      <alignment wrapText="1"/>
    </xf>
    <xf numFmtId="1" fontId="0" fillId="2" borderId="5" xfId="0" applyNumberFormat="1" applyFill="1" applyBorder="1"/>
    <xf numFmtId="49" fontId="0" fillId="2" borderId="5" xfId="0" applyNumberFormat="1" applyFill="1" applyBorder="1" applyAlignment="1">
      <alignment horizontal="center"/>
    </xf>
    <xf numFmtId="0" fontId="0" fillId="2" borderId="0" xfId="0" applyFill="1"/>
    <xf numFmtId="0" fontId="4" fillId="2" borderId="6" xfId="0" applyFont="1" applyFill="1" applyBorder="1"/>
    <xf numFmtId="164" fontId="4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190500</xdr:rowOff>
    </xdr:from>
    <xdr:ext cx="1562100" cy="381000"/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topLeftCell="A204" workbookViewId="0">
      <selection activeCell="H12" sqref="H12"/>
    </sheetView>
  </sheetViews>
  <sheetFormatPr defaultRowHeight="14.5" x14ac:dyDescent="0.35"/>
  <cols>
    <col min="1" max="1" width="1" customWidth="1"/>
    <col min="2" max="2" width="15" customWidth="1"/>
    <col min="3" max="3" width="50" customWidth="1"/>
    <col min="4" max="5" width="9" customWidth="1"/>
    <col min="6" max="8" width="11" customWidth="1"/>
    <col min="9" max="9" width="9" customWidth="1"/>
    <col min="10" max="10" width="12" customWidth="1"/>
  </cols>
  <sheetData>
    <row r="1" spans="1:61" x14ac:dyDescent="0.35">
      <c r="A1" s="1"/>
      <c r="B1" s="1"/>
      <c r="C1" s="1"/>
      <c r="D1" s="1"/>
      <c r="E1" s="1"/>
      <c r="F1" s="9"/>
      <c r="G1" s="9"/>
      <c r="H1" s="9"/>
      <c r="I1" s="13"/>
      <c r="J1" s="9"/>
      <c r="K1" s="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</row>
    <row r="2" spans="1:61" ht="37" customHeight="1" x14ac:dyDescent="0.35">
      <c r="A2" s="1"/>
      <c r="B2" s="1"/>
      <c r="C2" s="1"/>
      <c r="D2" s="1"/>
      <c r="E2" s="1"/>
      <c r="F2" s="9"/>
      <c r="G2" s="9"/>
      <c r="H2" s="9"/>
      <c r="I2" s="13"/>
      <c r="J2" s="9"/>
      <c r="K2" s="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</row>
    <row r="3" spans="1:61" x14ac:dyDescent="0.35">
      <c r="A3" s="1"/>
      <c r="B3" s="1"/>
      <c r="C3" s="2" t="s">
        <v>395</v>
      </c>
      <c r="D3" s="1"/>
      <c r="E3" s="1"/>
      <c r="F3" s="9"/>
      <c r="G3" s="9"/>
      <c r="H3" s="9"/>
      <c r="I3" s="13"/>
      <c r="J3" s="9"/>
      <c r="K3" s="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</row>
    <row r="4" spans="1:61" x14ac:dyDescent="0.35">
      <c r="A4" s="1"/>
      <c r="B4" s="1"/>
      <c r="C4" s="3" t="s">
        <v>396</v>
      </c>
      <c r="D4" s="1"/>
      <c r="E4" s="1"/>
      <c r="F4" s="9"/>
      <c r="G4" s="9"/>
      <c r="H4" s="9"/>
      <c r="I4" s="13"/>
      <c r="J4" s="9"/>
      <c r="K4" s="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spans="1:61" x14ac:dyDescent="0.35">
      <c r="A5" s="1"/>
      <c r="B5" s="1"/>
      <c r="C5" s="3" t="s">
        <v>0</v>
      </c>
      <c r="D5" s="1"/>
      <c r="E5" s="1"/>
      <c r="F5" s="9"/>
      <c r="G5" s="9"/>
      <c r="H5" s="9"/>
      <c r="I5" s="13"/>
      <c r="J5" s="9"/>
      <c r="K5" s="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</row>
    <row r="6" spans="1:61" x14ac:dyDescent="0.35">
      <c r="A6" s="1"/>
      <c r="B6" s="1"/>
      <c r="C6" s="3" t="s">
        <v>397</v>
      </c>
      <c r="D6" s="1"/>
      <c r="E6" s="1"/>
      <c r="F6" s="9"/>
      <c r="G6" s="9"/>
      <c r="H6" s="9"/>
      <c r="I6" s="13"/>
      <c r="J6" s="9"/>
      <c r="K6" s="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</row>
    <row r="7" spans="1:61" x14ac:dyDescent="0.35">
      <c r="A7" s="1"/>
      <c r="B7" s="1"/>
      <c r="C7" s="3" t="s">
        <v>1</v>
      </c>
      <c r="D7" s="1"/>
      <c r="E7" s="1"/>
      <c r="F7" s="9"/>
      <c r="G7" s="9"/>
      <c r="H7" s="9"/>
      <c r="I7" s="13"/>
      <c r="J7" s="9"/>
      <c r="K7" s="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</row>
    <row r="8" spans="1:61" x14ac:dyDescent="0.35">
      <c r="A8" s="1"/>
      <c r="B8" s="1"/>
      <c r="C8" s="3" t="s">
        <v>2</v>
      </c>
      <c r="D8" s="1"/>
      <c r="E8" s="1"/>
      <c r="F8" s="9"/>
      <c r="G8" s="9"/>
      <c r="H8" s="9"/>
      <c r="I8" s="13"/>
      <c r="J8" s="9"/>
      <c r="K8" s="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</row>
    <row r="9" spans="1:61" x14ac:dyDescent="0.35">
      <c r="A9" s="1"/>
      <c r="B9" s="1"/>
      <c r="C9" s="4" t="s">
        <v>3</v>
      </c>
      <c r="D9" s="1"/>
      <c r="E9" s="1"/>
      <c r="F9" s="9"/>
      <c r="G9" s="9"/>
      <c r="H9" s="9"/>
      <c r="I9" s="13"/>
      <c r="J9" s="9"/>
      <c r="K9" s="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</row>
    <row r="10" spans="1:61" x14ac:dyDescent="0.35">
      <c r="A10" s="1"/>
      <c r="B10" s="1"/>
      <c r="C10" s="1"/>
      <c r="D10" s="1"/>
      <c r="E10" s="1"/>
      <c r="F10" s="9"/>
      <c r="G10" s="9"/>
      <c r="H10" s="9"/>
      <c r="I10" s="13"/>
      <c r="J10" s="9"/>
      <c r="K10" s="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</row>
    <row r="11" spans="1:61" ht="26" x14ac:dyDescent="0.6">
      <c r="A11" s="1"/>
      <c r="B11" s="5" t="s">
        <v>4</v>
      </c>
      <c r="C11" s="5"/>
      <c r="D11" s="5"/>
      <c r="E11" s="5"/>
      <c r="F11" s="10"/>
      <c r="G11" s="10"/>
      <c r="H11" s="10"/>
      <c r="I11" s="14"/>
      <c r="J11" s="10"/>
      <c r="K11" s="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</row>
    <row r="12" spans="1:61" ht="29" x14ac:dyDescent="0.35">
      <c r="A12" s="1"/>
      <c r="B12" s="6" t="s">
        <v>5</v>
      </c>
      <c r="C12" s="6" t="s">
        <v>6</v>
      </c>
      <c r="D12" s="6" t="s">
        <v>7</v>
      </c>
      <c r="E12" s="6" t="s">
        <v>8</v>
      </c>
      <c r="F12" s="11" t="s">
        <v>9</v>
      </c>
      <c r="G12" s="11" t="s">
        <v>10</v>
      </c>
      <c r="H12" s="11" t="s">
        <v>11</v>
      </c>
      <c r="I12" s="15" t="s">
        <v>12</v>
      </c>
      <c r="J12" s="11" t="s">
        <v>13</v>
      </c>
      <c r="K12" s="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</row>
    <row r="13" spans="1:61" x14ac:dyDescent="0.35">
      <c r="A13" s="1"/>
      <c r="B13" s="7" t="s">
        <v>14</v>
      </c>
      <c r="C13" s="7" t="s">
        <v>15</v>
      </c>
      <c r="D13" s="17">
        <v>624</v>
      </c>
      <c r="E13" s="17">
        <v>24</v>
      </c>
      <c r="F13" s="12">
        <v>6.09</v>
      </c>
      <c r="G13" s="12">
        <v>5.97</v>
      </c>
      <c r="H13" s="12">
        <v>5.85</v>
      </c>
      <c r="I13" s="16"/>
      <c r="J13" s="12">
        <f t="shared" ref="J13:J44" si="0">I13*IF(I13&lt;100,F13,IF(I13&lt;240,G13,H13))</f>
        <v>0</v>
      </c>
      <c r="K13" s="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</row>
    <row r="14" spans="1:61" x14ac:dyDescent="0.35">
      <c r="A14" s="1"/>
      <c r="B14" s="7" t="s">
        <v>16</v>
      </c>
      <c r="C14" s="7" t="s">
        <v>17</v>
      </c>
      <c r="D14" s="17">
        <v>283</v>
      </c>
      <c r="E14" s="17">
        <v>24</v>
      </c>
      <c r="F14" s="12">
        <v>6.09</v>
      </c>
      <c r="G14" s="12">
        <v>5.97</v>
      </c>
      <c r="H14" s="12">
        <v>5.85</v>
      </c>
      <c r="I14" s="16"/>
      <c r="J14" s="12">
        <f t="shared" si="0"/>
        <v>0</v>
      </c>
      <c r="K14" s="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</row>
    <row r="15" spans="1:61" x14ac:dyDescent="0.35">
      <c r="A15" s="1"/>
      <c r="B15" s="7" t="s">
        <v>18</v>
      </c>
      <c r="C15" s="7" t="s">
        <v>19</v>
      </c>
      <c r="D15" s="17">
        <v>111</v>
      </c>
      <c r="E15" s="17">
        <v>6</v>
      </c>
      <c r="F15" s="12">
        <v>3.96</v>
      </c>
      <c r="G15" s="12">
        <v>3.88</v>
      </c>
      <c r="H15" s="12">
        <v>3.8</v>
      </c>
      <c r="I15" s="16"/>
      <c r="J15" s="12">
        <f t="shared" si="0"/>
        <v>0</v>
      </c>
      <c r="K15" s="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</row>
    <row r="16" spans="1:61" x14ac:dyDescent="0.35">
      <c r="A16" s="1"/>
      <c r="B16" s="7" t="s">
        <v>20</v>
      </c>
      <c r="C16" s="7" t="s">
        <v>21</v>
      </c>
      <c r="D16" s="17">
        <v>515</v>
      </c>
      <c r="E16" s="17">
        <v>6</v>
      </c>
      <c r="F16" s="12">
        <v>3.96</v>
      </c>
      <c r="G16" s="12">
        <v>3.88</v>
      </c>
      <c r="H16" s="12">
        <v>3.8</v>
      </c>
      <c r="I16" s="16"/>
      <c r="J16" s="12">
        <f t="shared" si="0"/>
        <v>0</v>
      </c>
      <c r="K16" s="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</row>
    <row r="17" spans="1:61" x14ac:dyDescent="0.35">
      <c r="A17" s="1"/>
      <c r="B17" s="7" t="s">
        <v>22</v>
      </c>
      <c r="C17" s="7" t="s">
        <v>23</v>
      </c>
      <c r="D17" s="17">
        <v>529</v>
      </c>
      <c r="E17" s="17">
        <v>20</v>
      </c>
      <c r="F17" s="12">
        <v>4.68</v>
      </c>
      <c r="G17" s="12">
        <v>4.59</v>
      </c>
      <c r="H17" s="12">
        <v>4.5</v>
      </c>
      <c r="I17" s="16"/>
      <c r="J17" s="12">
        <f t="shared" si="0"/>
        <v>0</v>
      </c>
      <c r="K17" s="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</row>
    <row r="18" spans="1:61" x14ac:dyDescent="0.35">
      <c r="A18" s="1"/>
      <c r="B18" s="7" t="s">
        <v>24</v>
      </c>
      <c r="C18" s="7" t="s">
        <v>25</v>
      </c>
      <c r="D18" s="17">
        <v>1272</v>
      </c>
      <c r="E18" s="17">
        <v>24</v>
      </c>
      <c r="F18" s="12">
        <v>2.81</v>
      </c>
      <c r="G18" s="12">
        <v>2.76</v>
      </c>
      <c r="H18" s="12">
        <v>2.7</v>
      </c>
      <c r="I18" s="16"/>
      <c r="J18" s="12">
        <f t="shared" si="0"/>
        <v>0</v>
      </c>
      <c r="K18" s="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</row>
    <row r="19" spans="1:61" x14ac:dyDescent="0.35">
      <c r="A19" s="1"/>
      <c r="B19" s="7" t="s">
        <v>26</v>
      </c>
      <c r="C19" s="7" t="s">
        <v>27</v>
      </c>
      <c r="D19" s="17">
        <v>1752</v>
      </c>
      <c r="E19" s="17">
        <v>24</v>
      </c>
      <c r="F19" s="12">
        <v>2.81</v>
      </c>
      <c r="G19" s="12">
        <v>2.76</v>
      </c>
      <c r="H19" s="12">
        <v>2.7</v>
      </c>
      <c r="I19" s="16"/>
      <c r="J19" s="12">
        <f t="shared" si="0"/>
        <v>0</v>
      </c>
      <c r="K19" s="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</row>
    <row r="20" spans="1:61" x14ac:dyDescent="0.35">
      <c r="A20" s="1"/>
      <c r="B20" s="7" t="s">
        <v>28</v>
      </c>
      <c r="C20" s="7" t="s">
        <v>29</v>
      </c>
      <c r="D20" s="17">
        <v>1680</v>
      </c>
      <c r="E20" s="17">
        <v>24</v>
      </c>
      <c r="F20" s="12">
        <v>2.81</v>
      </c>
      <c r="G20" s="12">
        <v>2.76</v>
      </c>
      <c r="H20" s="12">
        <v>2.7</v>
      </c>
      <c r="I20" s="16"/>
      <c r="J20" s="12">
        <f t="shared" si="0"/>
        <v>0</v>
      </c>
      <c r="K20" s="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</row>
    <row r="21" spans="1:61" x14ac:dyDescent="0.35">
      <c r="A21" s="1"/>
      <c r="B21" s="7" t="s">
        <v>30</v>
      </c>
      <c r="C21" s="7" t="s">
        <v>31</v>
      </c>
      <c r="D21" s="17" t="s">
        <v>32</v>
      </c>
      <c r="E21" s="17">
        <v>24</v>
      </c>
      <c r="F21" s="12">
        <v>12.43</v>
      </c>
      <c r="G21" s="12">
        <v>12.19</v>
      </c>
      <c r="H21" s="12">
        <v>11.95</v>
      </c>
      <c r="I21" s="16"/>
      <c r="J21" s="12">
        <f t="shared" si="0"/>
        <v>0</v>
      </c>
      <c r="K21" s="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</row>
    <row r="22" spans="1:61" x14ac:dyDescent="0.35">
      <c r="A22" s="1"/>
      <c r="B22" s="7" t="s">
        <v>33</v>
      </c>
      <c r="C22" s="7" t="s">
        <v>34</v>
      </c>
      <c r="D22" s="17">
        <v>417</v>
      </c>
      <c r="E22" s="17">
        <v>20</v>
      </c>
      <c r="F22" s="12">
        <v>14.51</v>
      </c>
      <c r="G22" s="12">
        <v>14.23</v>
      </c>
      <c r="H22" s="12">
        <v>13.95</v>
      </c>
      <c r="I22" s="16"/>
      <c r="J22" s="12">
        <f t="shared" si="0"/>
        <v>0</v>
      </c>
      <c r="K22" s="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</row>
    <row r="23" spans="1:61" x14ac:dyDescent="0.35">
      <c r="A23" s="1"/>
      <c r="B23" s="7" t="s">
        <v>35</v>
      </c>
      <c r="C23" s="7" t="s">
        <v>36</v>
      </c>
      <c r="D23" s="17" t="s">
        <v>32</v>
      </c>
      <c r="E23" s="17">
        <v>20</v>
      </c>
      <c r="F23" s="12">
        <v>13</v>
      </c>
      <c r="G23" s="12">
        <v>12.75</v>
      </c>
      <c r="H23" s="12">
        <v>12.5</v>
      </c>
      <c r="I23" s="16"/>
      <c r="J23" s="12">
        <f t="shared" si="0"/>
        <v>0</v>
      </c>
      <c r="K23" s="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</row>
    <row r="24" spans="1:61" x14ac:dyDescent="0.35">
      <c r="A24" s="1"/>
      <c r="B24" s="7" t="s">
        <v>37</v>
      </c>
      <c r="C24" s="7" t="s">
        <v>38</v>
      </c>
      <c r="D24" s="17" t="s">
        <v>32</v>
      </c>
      <c r="E24" s="17">
        <v>42</v>
      </c>
      <c r="F24" s="12">
        <v>7.8</v>
      </c>
      <c r="G24" s="12">
        <v>7.65</v>
      </c>
      <c r="H24" s="12">
        <v>7.5</v>
      </c>
      <c r="I24" s="16"/>
      <c r="J24" s="12">
        <f t="shared" si="0"/>
        <v>0</v>
      </c>
      <c r="K24" s="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</row>
    <row r="25" spans="1:61" x14ac:dyDescent="0.35">
      <c r="A25" s="1"/>
      <c r="B25" s="7" t="s">
        <v>39</v>
      </c>
      <c r="C25" s="7" t="s">
        <v>40</v>
      </c>
      <c r="D25" s="17" t="s">
        <v>32</v>
      </c>
      <c r="E25" s="17">
        <v>24</v>
      </c>
      <c r="F25" s="12">
        <v>13</v>
      </c>
      <c r="G25" s="12">
        <v>12.75</v>
      </c>
      <c r="H25" s="12">
        <v>12.5</v>
      </c>
      <c r="I25" s="16"/>
      <c r="J25" s="12">
        <f t="shared" si="0"/>
        <v>0</v>
      </c>
      <c r="K25" s="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</row>
    <row r="26" spans="1:61" x14ac:dyDescent="0.35">
      <c r="A26" s="1"/>
      <c r="B26" s="7" t="s">
        <v>41</v>
      </c>
      <c r="C26" s="7" t="s">
        <v>42</v>
      </c>
      <c r="D26" s="17">
        <v>39</v>
      </c>
      <c r="E26" s="17">
        <v>56</v>
      </c>
      <c r="F26" s="12">
        <v>21.79</v>
      </c>
      <c r="G26" s="12">
        <v>21.37</v>
      </c>
      <c r="H26" s="12">
        <v>20.95</v>
      </c>
      <c r="I26" s="16"/>
      <c r="J26" s="12">
        <f t="shared" si="0"/>
        <v>0</v>
      </c>
      <c r="K26" s="8" t="s">
        <v>43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</row>
    <row r="27" spans="1:61" x14ac:dyDescent="0.35">
      <c r="A27" s="1"/>
      <c r="B27" s="7" t="s">
        <v>44</v>
      </c>
      <c r="C27" s="7" t="s">
        <v>45</v>
      </c>
      <c r="D27" s="17" t="s">
        <v>32</v>
      </c>
      <c r="E27" s="17">
        <v>24</v>
      </c>
      <c r="F27" s="12">
        <v>3.38</v>
      </c>
      <c r="G27" s="12">
        <v>3.32</v>
      </c>
      <c r="H27" s="12">
        <v>3.25</v>
      </c>
      <c r="I27" s="16"/>
      <c r="J27" s="12">
        <f t="shared" si="0"/>
        <v>0</v>
      </c>
      <c r="K27" s="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</row>
    <row r="28" spans="1:61" x14ac:dyDescent="0.35">
      <c r="A28" s="1"/>
      <c r="B28" s="7" t="s">
        <v>46</v>
      </c>
      <c r="C28" s="7" t="s">
        <v>47</v>
      </c>
      <c r="D28" s="17" t="s">
        <v>32</v>
      </c>
      <c r="E28" s="17">
        <v>40</v>
      </c>
      <c r="F28" s="12">
        <v>7.54</v>
      </c>
      <c r="G28" s="12">
        <v>7.4</v>
      </c>
      <c r="H28" s="12">
        <v>7.25</v>
      </c>
      <c r="I28" s="16"/>
      <c r="J28" s="12">
        <f t="shared" si="0"/>
        <v>0</v>
      </c>
      <c r="K28" s="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</row>
    <row r="29" spans="1:61" x14ac:dyDescent="0.35">
      <c r="A29" s="1"/>
      <c r="B29" s="7" t="s">
        <v>48</v>
      </c>
      <c r="C29" s="7" t="s">
        <v>49</v>
      </c>
      <c r="D29" s="17">
        <v>256</v>
      </c>
      <c r="E29" s="17">
        <v>40</v>
      </c>
      <c r="F29" s="12">
        <v>8.84</v>
      </c>
      <c r="G29" s="12">
        <v>8.67</v>
      </c>
      <c r="H29" s="12">
        <v>8.5</v>
      </c>
      <c r="I29" s="16"/>
      <c r="J29" s="12">
        <f t="shared" si="0"/>
        <v>0</v>
      </c>
      <c r="K29" s="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</row>
    <row r="30" spans="1:61" x14ac:dyDescent="0.35">
      <c r="A30" s="1"/>
      <c r="B30" s="7" t="s">
        <v>50</v>
      </c>
      <c r="C30" s="7" t="s">
        <v>51</v>
      </c>
      <c r="D30" s="17" t="s">
        <v>32</v>
      </c>
      <c r="E30" s="17">
        <v>24</v>
      </c>
      <c r="F30" s="12">
        <v>3.75</v>
      </c>
      <c r="G30" s="12">
        <v>3.68</v>
      </c>
      <c r="H30" s="12">
        <v>3.6</v>
      </c>
      <c r="I30" s="16"/>
      <c r="J30" s="12">
        <f t="shared" si="0"/>
        <v>0</v>
      </c>
      <c r="K30" s="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</row>
    <row r="31" spans="1:61" x14ac:dyDescent="0.35">
      <c r="A31" s="1"/>
      <c r="B31" s="7" t="s">
        <v>52</v>
      </c>
      <c r="C31" s="7" t="s">
        <v>53</v>
      </c>
      <c r="D31" s="17" t="s">
        <v>32</v>
      </c>
      <c r="E31" s="17">
        <v>24</v>
      </c>
      <c r="F31" s="12">
        <v>14.51</v>
      </c>
      <c r="G31" s="12">
        <v>14.23</v>
      </c>
      <c r="H31" s="12">
        <v>13.95</v>
      </c>
      <c r="I31" s="16"/>
      <c r="J31" s="12">
        <f t="shared" si="0"/>
        <v>0</v>
      </c>
      <c r="K31" s="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</row>
    <row r="32" spans="1:61" x14ac:dyDescent="0.35">
      <c r="A32" s="1"/>
      <c r="B32" s="7" t="s">
        <v>54</v>
      </c>
      <c r="C32" s="7" t="s">
        <v>55</v>
      </c>
      <c r="D32" s="17">
        <v>1627</v>
      </c>
      <c r="E32" s="17">
        <v>24</v>
      </c>
      <c r="F32" s="12">
        <v>15.08</v>
      </c>
      <c r="G32" s="12">
        <v>14.79</v>
      </c>
      <c r="H32" s="12">
        <v>14.5</v>
      </c>
      <c r="I32" s="16"/>
      <c r="J32" s="12">
        <f t="shared" si="0"/>
        <v>0</v>
      </c>
      <c r="K32" s="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</row>
    <row r="33" spans="1:61" x14ac:dyDescent="0.35">
      <c r="A33" s="1"/>
      <c r="B33" s="7" t="s">
        <v>56</v>
      </c>
      <c r="C33" s="7" t="s">
        <v>57</v>
      </c>
      <c r="D33" s="17">
        <v>1752</v>
      </c>
      <c r="E33" s="17">
        <v>24</v>
      </c>
      <c r="F33" s="12">
        <v>2.81</v>
      </c>
      <c r="G33" s="12">
        <v>2.76</v>
      </c>
      <c r="H33" s="12">
        <v>2.7</v>
      </c>
      <c r="I33" s="16"/>
      <c r="J33" s="12">
        <f t="shared" si="0"/>
        <v>0</v>
      </c>
      <c r="K33" s="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</row>
    <row r="34" spans="1:61" x14ac:dyDescent="0.35">
      <c r="A34" s="1"/>
      <c r="B34" s="7" t="s">
        <v>58</v>
      </c>
      <c r="C34" s="7" t="s">
        <v>59</v>
      </c>
      <c r="D34" s="17">
        <v>151</v>
      </c>
      <c r="E34" s="17">
        <v>20</v>
      </c>
      <c r="F34" s="12">
        <v>34.270000000000003</v>
      </c>
      <c r="G34" s="12">
        <v>33.61</v>
      </c>
      <c r="H34" s="12">
        <v>32.950000000000003</v>
      </c>
      <c r="I34" s="16"/>
      <c r="J34" s="12">
        <f t="shared" si="0"/>
        <v>0</v>
      </c>
      <c r="K34" s="8" t="s">
        <v>43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</row>
    <row r="35" spans="1:61" x14ac:dyDescent="0.35">
      <c r="A35" s="1"/>
      <c r="B35" s="7" t="s">
        <v>60</v>
      </c>
      <c r="C35" s="7" t="s">
        <v>61</v>
      </c>
      <c r="D35" s="17" t="s">
        <v>32</v>
      </c>
      <c r="E35" s="17">
        <v>35</v>
      </c>
      <c r="F35" s="12">
        <v>13</v>
      </c>
      <c r="G35" s="12">
        <v>12.75</v>
      </c>
      <c r="H35" s="12">
        <v>12.5</v>
      </c>
      <c r="I35" s="16"/>
      <c r="J35" s="12">
        <f t="shared" si="0"/>
        <v>0</v>
      </c>
      <c r="K35" s="8" t="s">
        <v>43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</row>
    <row r="36" spans="1:61" x14ac:dyDescent="0.35">
      <c r="A36" s="1"/>
      <c r="B36" s="7" t="s">
        <v>62</v>
      </c>
      <c r="C36" s="7" t="s">
        <v>63</v>
      </c>
      <c r="D36" s="17" t="s">
        <v>32</v>
      </c>
      <c r="E36" s="17">
        <v>20</v>
      </c>
      <c r="F36" s="12">
        <v>19.760000000000002</v>
      </c>
      <c r="G36" s="12">
        <v>19.38</v>
      </c>
      <c r="H36" s="12">
        <v>19</v>
      </c>
      <c r="I36" s="16"/>
      <c r="J36" s="12">
        <f t="shared" si="0"/>
        <v>0</v>
      </c>
      <c r="K36" s="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</row>
    <row r="37" spans="1:61" x14ac:dyDescent="0.35">
      <c r="A37" s="1"/>
      <c r="B37" s="7" t="s">
        <v>64</v>
      </c>
      <c r="C37" s="7" t="s">
        <v>65</v>
      </c>
      <c r="D37" s="17">
        <v>439</v>
      </c>
      <c r="E37" s="17">
        <v>15</v>
      </c>
      <c r="F37" s="12">
        <v>25.48</v>
      </c>
      <c r="G37" s="12">
        <v>24.99</v>
      </c>
      <c r="H37" s="12">
        <v>24.5</v>
      </c>
      <c r="I37" s="16"/>
      <c r="J37" s="12">
        <f t="shared" si="0"/>
        <v>0</v>
      </c>
      <c r="K37" s="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</row>
    <row r="38" spans="1:61" x14ac:dyDescent="0.35">
      <c r="A38" s="1"/>
      <c r="B38" s="7" t="s">
        <v>66</v>
      </c>
      <c r="C38" s="7" t="s">
        <v>67</v>
      </c>
      <c r="D38" s="17" t="s">
        <v>32</v>
      </c>
      <c r="E38" s="17">
        <v>20</v>
      </c>
      <c r="F38" s="12">
        <v>12.74</v>
      </c>
      <c r="G38" s="12">
        <v>12.5</v>
      </c>
      <c r="H38" s="12">
        <v>12.25</v>
      </c>
      <c r="I38" s="16"/>
      <c r="J38" s="12">
        <f t="shared" si="0"/>
        <v>0</v>
      </c>
      <c r="K38" s="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</row>
    <row r="39" spans="1:61" x14ac:dyDescent="0.35">
      <c r="A39" s="1"/>
      <c r="B39" s="7" t="s">
        <v>68</v>
      </c>
      <c r="C39" s="7" t="s">
        <v>69</v>
      </c>
      <c r="D39" s="17" t="s">
        <v>32</v>
      </c>
      <c r="E39" s="17">
        <v>20</v>
      </c>
      <c r="F39" s="12">
        <v>13</v>
      </c>
      <c r="G39" s="12">
        <v>12.75</v>
      </c>
      <c r="H39" s="12">
        <v>12.5</v>
      </c>
      <c r="I39" s="16"/>
      <c r="J39" s="12">
        <f t="shared" si="0"/>
        <v>0</v>
      </c>
      <c r="K39" s="8" t="s">
        <v>43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spans="1:61" x14ac:dyDescent="0.35">
      <c r="A40" s="1"/>
      <c r="B40" s="7" t="s">
        <v>70</v>
      </c>
      <c r="C40" s="7" t="s">
        <v>71</v>
      </c>
      <c r="D40" s="17" t="s">
        <v>32</v>
      </c>
      <c r="E40" s="17">
        <v>18</v>
      </c>
      <c r="F40" s="12">
        <v>19.239999999999998</v>
      </c>
      <c r="G40" s="12">
        <v>18.87</v>
      </c>
      <c r="H40" s="12">
        <v>18.5</v>
      </c>
      <c r="I40" s="16"/>
      <c r="J40" s="12">
        <f t="shared" si="0"/>
        <v>0</v>
      </c>
      <c r="K40" s="8" t="s">
        <v>43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</row>
    <row r="41" spans="1:61" x14ac:dyDescent="0.35">
      <c r="A41" s="1"/>
      <c r="B41" s="7" t="s">
        <v>72</v>
      </c>
      <c r="C41" s="7" t="s">
        <v>73</v>
      </c>
      <c r="D41" s="17" t="s">
        <v>32</v>
      </c>
      <c r="E41" s="17">
        <v>18</v>
      </c>
      <c r="F41" s="12">
        <v>17.059999999999999</v>
      </c>
      <c r="G41" s="12">
        <v>16.73</v>
      </c>
      <c r="H41" s="12">
        <v>16.399999999999999</v>
      </c>
      <c r="I41" s="16"/>
      <c r="J41" s="12">
        <f t="shared" si="0"/>
        <v>0</v>
      </c>
      <c r="K41" s="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</row>
    <row r="42" spans="1:61" x14ac:dyDescent="0.35">
      <c r="A42" s="1"/>
      <c r="B42" s="7" t="s">
        <v>74</v>
      </c>
      <c r="C42" s="7" t="s">
        <v>75</v>
      </c>
      <c r="D42" s="17">
        <v>628</v>
      </c>
      <c r="E42" s="17">
        <v>48</v>
      </c>
      <c r="F42" s="12">
        <v>7.96</v>
      </c>
      <c r="G42" s="12">
        <v>7.81</v>
      </c>
      <c r="H42" s="12">
        <v>7.65</v>
      </c>
      <c r="I42" s="16"/>
      <c r="J42" s="12">
        <f t="shared" si="0"/>
        <v>0</v>
      </c>
      <c r="K42" s="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</row>
    <row r="43" spans="1:61" x14ac:dyDescent="0.35">
      <c r="A43" s="1"/>
      <c r="B43" s="7" t="s">
        <v>76</v>
      </c>
      <c r="C43" s="7" t="s">
        <v>77</v>
      </c>
      <c r="D43" s="17" t="s">
        <v>32</v>
      </c>
      <c r="E43" s="17">
        <v>48</v>
      </c>
      <c r="F43" s="12">
        <v>7.96</v>
      </c>
      <c r="G43" s="12">
        <v>7.81</v>
      </c>
      <c r="H43" s="12">
        <v>7.65</v>
      </c>
      <c r="I43" s="16"/>
      <c r="J43" s="12">
        <f t="shared" si="0"/>
        <v>0</v>
      </c>
      <c r="K43" s="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</row>
    <row r="44" spans="1:61" x14ac:dyDescent="0.35">
      <c r="A44" s="1"/>
      <c r="B44" s="7" t="s">
        <v>78</v>
      </c>
      <c r="C44" s="7" t="s">
        <v>79</v>
      </c>
      <c r="D44" s="17">
        <v>625</v>
      </c>
      <c r="E44" s="17">
        <v>80</v>
      </c>
      <c r="F44" s="12">
        <v>8.84</v>
      </c>
      <c r="G44" s="12">
        <v>8.67</v>
      </c>
      <c r="H44" s="12">
        <v>8.5</v>
      </c>
      <c r="I44" s="16"/>
      <c r="J44" s="12">
        <f t="shared" si="0"/>
        <v>0</v>
      </c>
      <c r="K44" s="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</row>
    <row r="45" spans="1:61" x14ac:dyDescent="0.35">
      <c r="A45" s="1"/>
      <c r="B45" s="7" t="s">
        <v>80</v>
      </c>
      <c r="C45" s="7" t="s">
        <v>81</v>
      </c>
      <c r="D45" s="17" t="s">
        <v>32</v>
      </c>
      <c r="E45" s="17">
        <v>25</v>
      </c>
      <c r="F45" s="12">
        <v>16.64</v>
      </c>
      <c r="G45" s="12">
        <v>16.32</v>
      </c>
      <c r="H45" s="12">
        <v>16</v>
      </c>
      <c r="I45" s="16"/>
      <c r="J45" s="12">
        <f t="shared" ref="J45:J76" si="1">I45*IF(I45&lt;100,F45,IF(I45&lt;240,G45,H45))</f>
        <v>0</v>
      </c>
      <c r="K45" s="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</row>
    <row r="46" spans="1:61" x14ac:dyDescent="0.35">
      <c r="A46" s="1"/>
      <c r="B46" s="7" t="s">
        <v>82</v>
      </c>
      <c r="C46" s="7" t="s">
        <v>83</v>
      </c>
      <c r="D46" s="17" t="s">
        <v>32</v>
      </c>
      <c r="E46" s="17">
        <v>30</v>
      </c>
      <c r="F46" s="12">
        <v>14.56</v>
      </c>
      <c r="G46" s="12">
        <v>14.28</v>
      </c>
      <c r="H46" s="12">
        <v>14</v>
      </c>
      <c r="I46" s="16"/>
      <c r="J46" s="12">
        <f t="shared" si="1"/>
        <v>0</v>
      </c>
      <c r="K46" s="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</row>
    <row r="47" spans="1:61" x14ac:dyDescent="0.35">
      <c r="A47" s="1"/>
      <c r="B47" s="7" t="s">
        <v>84</v>
      </c>
      <c r="C47" s="7" t="s">
        <v>85</v>
      </c>
      <c r="D47" s="17" t="s">
        <v>32</v>
      </c>
      <c r="E47" s="17">
        <v>56</v>
      </c>
      <c r="F47" s="12">
        <v>9.83</v>
      </c>
      <c r="G47" s="12">
        <v>9.64</v>
      </c>
      <c r="H47" s="12">
        <v>9.4499999999999993</v>
      </c>
      <c r="I47" s="16"/>
      <c r="J47" s="12">
        <f t="shared" si="1"/>
        <v>0</v>
      </c>
      <c r="K47" s="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</row>
    <row r="48" spans="1:61" x14ac:dyDescent="0.35">
      <c r="A48" s="1"/>
      <c r="B48" s="7" t="s">
        <v>86</v>
      </c>
      <c r="C48" s="7" t="s">
        <v>87</v>
      </c>
      <c r="D48" s="17" t="s">
        <v>32</v>
      </c>
      <c r="E48" s="17">
        <v>40</v>
      </c>
      <c r="F48" s="12">
        <v>12.43</v>
      </c>
      <c r="G48" s="12">
        <v>12.19</v>
      </c>
      <c r="H48" s="12">
        <v>11.95</v>
      </c>
      <c r="I48" s="16"/>
      <c r="J48" s="12">
        <f t="shared" si="1"/>
        <v>0</v>
      </c>
      <c r="K48" s="8" t="s">
        <v>43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</row>
    <row r="49" spans="1:61" x14ac:dyDescent="0.35">
      <c r="A49" s="1"/>
      <c r="B49" s="7" t="s">
        <v>88</v>
      </c>
      <c r="C49" s="7" t="s">
        <v>89</v>
      </c>
      <c r="D49" s="17">
        <v>432</v>
      </c>
      <c r="E49" s="17">
        <v>24</v>
      </c>
      <c r="F49" s="12">
        <v>13</v>
      </c>
      <c r="G49" s="12">
        <v>12.75</v>
      </c>
      <c r="H49" s="12">
        <v>12.5</v>
      </c>
      <c r="I49" s="16"/>
      <c r="J49" s="12">
        <f t="shared" si="1"/>
        <v>0</v>
      </c>
      <c r="K49" s="8" t="s">
        <v>43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</row>
    <row r="50" spans="1:61" x14ac:dyDescent="0.35">
      <c r="A50" s="1"/>
      <c r="B50" s="7" t="s">
        <v>90</v>
      </c>
      <c r="C50" s="7" t="s">
        <v>91</v>
      </c>
      <c r="D50" s="17">
        <v>456</v>
      </c>
      <c r="E50" s="17">
        <v>24</v>
      </c>
      <c r="F50" s="12">
        <v>13</v>
      </c>
      <c r="G50" s="12">
        <v>12.75</v>
      </c>
      <c r="H50" s="12">
        <v>12.5</v>
      </c>
      <c r="I50" s="16"/>
      <c r="J50" s="12">
        <f t="shared" si="1"/>
        <v>0</v>
      </c>
      <c r="K50" s="8" t="s">
        <v>43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</row>
    <row r="51" spans="1:61" x14ac:dyDescent="0.35">
      <c r="A51" s="1"/>
      <c r="B51" s="7" t="s">
        <v>92</v>
      </c>
      <c r="C51" s="7" t="s">
        <v>93</v>
      </c>
      <c r="D51" s="17">
        <v>360</v>
      </c>
      <c r="E51" s="17">
        <v>24</v>
      </c>
      <c r="F51" s="12">
        <v>13</v>
      </c>
      <c r="G51" s="12">
        <v>12.75</v>
      </c>
      <c r="H51" s="12">
        <v>12.5</v>
      </c>
      <c r="I51" s="16"/>
      <c r="J51" s="12">
        <f t="shared" si="1"/>
        <v>0</v>
      </c>
      <c r="K51" s="8" t="s">
        <v>43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</row>
    <row r="52" spans="1:61" x14ac:dyDescent="0.35">
      <c r="A52" s="1"/>
      <c r="B52" s="7" t="s">
        <v>94</v>
      </c>
      <c r="C52" s="7" t="s">
        <v>95</v>
      </c>
      <c r="D52" s="17">
        <v>48</v>
      </c>
      <c r="E52" s="17">
        <v>33</v>
      </c>
      <c r="F52" s="12">
        <v>11.96</v>
      </c>
      <c r="G52" s="12">
        <v>11.73</v>
      </c>
      <c r="H52" s="12">
        <v>11.5</v>
      </c>
      <c r="I52" s="16"/>
      <c r="J52" s="12">
        <f t="shared" si="1"/>
        <v>0</v>
      </c>
      <c r="K52" s="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</row>
    <row r="53" spans="1:61" x14ac:dyDescent="0.35">
      <c r="A53" s="1"/>
      <c r="B53" s="7" t="s">
        <v>96</v>
      </c>
      <c r="C53" s="7" t="s">
        <v>97</v>
      </c>
      <c r="D53" s="17">
        <v>42</v>
      </c>
      <c r="E53" s="17">
        <v>18</v>
      </c>
      <c r="F53" s="12">
        <v>19.71</v>
      </c>
      <c r="G53" s="12">
        <v>19.329999999999998</v>
      </c>
      <c r="H53" s="12">
        <v>18.95</v>
      </c>
      <c r="I53" s="16"/>
      <c r="J53" s="12">
        <f t="shared" si="1"/>
        <v>0</v>
      </c>
      <c r="K53" s="8" t="s">
        <v>98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</row>
    <row r="54" spans="1:61" x14ac:dyDescent="0.35">
      <c r="A54" s="1"/>
      <c r="B54" s="7" t="s">
        <v>99</v>
      </c>
      <c r="C54" s="7" t="s">
        <v>100</v>
      </c>
      <c r="D54" s="17">
        <v>421</v>
      </c>
      <c r="E54" s="17">
        <v>48</v>
      </c>
      <c r="F54" s="12">
        <v>14.51</v>
      </c>
      <c r="G54" s="12">
        <v>14.23</v>
      </c>
      <c r="H54" s="12">
        <v>13.95</v>
      </c>
      <c r="I54" s="16"/>
      <c r="J54" s="12">
        <f t="shared" si="1"/>
        <v>0</v>
      </c>
      <c r="K54" s="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</row>
    <row r="55" spans="1:61" x14ac:dyDescent="0.35">
      <c r="A55" s="1"/>
      <c r="B55" s="7" t="s">
        <v>101</v>
      </c>
      <c r="C55" s="7" t="s">
        <v>102</v>
      </c>
      <c r="D55" s="17">
        <v>64</v>
      </c>
      <c r="E55" s="17">
        <v>16</v>
      </c>
      <c r="F55" s="12">
        <v>14.51</v>
      </c>
      <c r="G55" s="12">
        <v>14.23</v>
      </c>
      <c r="H55" s="12">
        <v>13.95</v>
      </c>
      <c r="I55" s="16"/>
      <c r="J55" s="12">
        <f t="shared" si="1"/>
        <v>0</v>
      </c>
      <c r="K55" s="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</row>
    <row r="56" spans="1:61" x14ac:dyDescent="0.35">
      <c r="A56" s="1"/>
      <c r="B56" s="7" t="s">
        <v>103</v>
      </c>
      <c r="C56" s="7" t="s">
        <v>104</v>
      </c>
      <c r="D56" s="17">
        <v>291</v>
      </c>
      <c r="E56" s="17">
        <v>21</v>
      </c>
      <c r="F56" s="12">
        <v>15.55</v>
      </c>
      <c r="G56" s="12">
        <v>15.25</v>
      </c>
      <c r="H56" s="12">
        <v>14.95</v>
      </c>
      <c r="I56" s="16"/>
      <c r="J56" s="12">
        <f t="shared" si="1"/>
        <v>0</v>
      </c>
      <c r="K56" s="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</row>
    <row r="57" spans="1:61" x14ac:dyDescent="0.35">
      <c r="A57" s="1"/>
      <c r="B57" s="7" t="s">
        <v>105</v>
      </c>
      <c r="C57" s="7" t="s">
        <v>106</v>
      </c>
      <c r="D57" s="17">
        <v>220</v>
      </c>
      <c r="E57" s="17">
        <v>20</v>
      </c>
      <c r="F57" s="12">
        <v>21.79</v>
      </c>
      <c r="G57" s="12">
        <v>21.37</v>
      </c>
      <c r="H57" s="12">
        <v>20.95</v>
      </c>
      <c r="I57" s="16"/>
      <c r="J57" s="12">
        <f t="shared" si="1"/>
        <v>0</v>
      </c>
      <c r="K57" s="8" t="s">
        <v>43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</row>
    <row r="58" spans="1:61" x14ac:dyDescent="0.35">
      <c r="A58" s="1"/>
      <c r="B58" s="7" t="s">
        <v>107</v>
      </c>
      <c r="C58" s="7" t="s">
        <v>108</v>
      </c>
      <c r="D58" s="17" t="s">
        <v>32</v>
      </c>
      <c r="E58" s="17">
        <v>40</v>
      </c>
      <c r="F58" s="12">
        <v>18.46</v>
      </c>
      <c r="G58" s="12">
        <v>18.11</v>
      </c>
      <c r="H58" s="12">
        <v>17.75</v>
      </c>
      <c r="I58" s="16"/>
      <c r="J58" s="12">
        <f t="shared" si="1"/>
        <v>0</v>
      </c>
      <c r="K58" s="8" t="s">
        <v>43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</row>
    <row r="59" spans="1:61" x14ac:dyDescent="0.35">
      <c r="A59" s="1"/>
      <c r="B59" s="7" t="s">
        <v>109</v>
      </c>
      <c r="C59" s="7" t="s">
        <v>110</v>
      </c>
      <c r="D59" s="17" t="s">
        <v>32</v>
      </c>
      <c r="E59" s="17">
        <v>12</v>
      </c>
      <c r="F59" s="12">
        <v>21.79</v>
      </c>
      <c r="G59" s="12">
        <v>21.37</v>
      </c>
      <c r="H59" s="12">
        <v>20.95</v>
      </c>
      <c r="I59" s="16"/>
      <c r="J59" s="12">
        <f t="shared" si="1"/>
        <v>0</v>
      </c>
      <c r="K59" s="8" t="s">
        <v>43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</row>
    <row r="60" spans="1:61" x14ac:dyDescent="0.35">
      <c r="A60" s="1"/>
      <c r="B60" s="7" t="s">
        <v>111</v>
      </c>
      <c r="C60" s="7" t="s">
        <v>112</v>
      </c>
      <c r="D60" s="17" t="s">
        <v>32</v>
      </c>
      <c r="E60" s="17">
        <v>12</v>
      </c>
      <c r="F60" s="12">
        <v>21.79</v>
      </c>
      <c r="G60" s="12">
        <v>21.37</v>
      </c>
      <c r="H60" s="12">
        <v>20.95</v>
      </c>
      <c r="I60" s="16"/>
      <c r="J60" s="12">
        <f t="shared" si="1"/>
        <v>0</v>
      </c>
      <c r="K60" s="8" t="s">
        <v>43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</row>
    <row r="61" spans="1:61" x14ac:dyDescent="0.35">
      <c r="A61" s="1"/>
      <c r="B61" s="7" t="s">
        <v>113</v>
      </c>
      <c r="C61" s="7" t="s">
        <v>114</v>
      </c>
      <c r="D61" s="17">
        <v>995</v>
      </c>
      <c r="E61" s="17">
        <v>6</v>
      </c>
      <c r="F61" s="12">
        <v>1.03</v>
      </c>
      <c r="G61" s="12">
        <v>1.01</v>
      </c>
      <c r="H61" s="12">
        <v>0.99</v>
      </c>
      <c r="I61" s="16"/>
      <c r="J61" s="12">
        <f t="shared" si="1"/>
        <v>0</v>
      </c>
      <c r="K61" s="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</row>
    <row r="62" spans="1:61" x14ac:dyDescent="0.35">
      <c r="A62" s="1"/>
      <c r="B62" s="7" t="s">
        <v>115</v>
      </c>
      <c r="C62" s="7" t="s">
        <v>116</v>
      </c>
      <c r="D62" s="17">
        <v>124</v>
      </c>
      <c r="E62" s="17">
        <v>6</v>
      </c>
      <c r="F62" s="12">
        <v>0.7</v>
      </c>
      <c r="G62" s="12">
        <v>0.69</v>
      </c>
      <c r="H62" s="12">
        <v>0.67</v>
      </c>
      <c r="I62" s="16"/>
      <c r="J62" s="12">
        <f t="shared" si="1"/>
        <v>0</v>
      </c>
      <c r="K62" s="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</row>
    <row r="63" spans="1:61" x14ac:dyDescent="0.35">
      <c r="A63" s="1"/>
      <c r="B63" s="7" t="s">
        <v>117</v>
      </c>
      <c r="C63" s="7" t="s">
        <v>118</v>
      </c>
      <c r="D63" s="17">
        <v>1607</v>
      </c>
      <c r="E63" s="17">
        <v>6</v>
      </c>
      <c r="F63" s="12">
        <v>1.03</v>
      </c>
      <c r="G63" s="12">
        <v>1.01</v>
      </c>
      <c r="H63" s="12">
        <v>0.99</v>
      </c>
      <c r="I63" s="16"/>
      <c r="J63" s="12">
        <f t="shared" si="1"/>
        <v>0</v>
      </c>
      <c r="K63" s="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</row>
    <row r="64" spans="1:61" x14ac:dyDescent="0.35">
      <c r="A64" s="1"/>
      <c r="B64" s="7" t="s">
        <v>119</v>
      </c>
      <c r="C64" s="7" t="s">
        <v>120</v>
      </c>
      <c r="D64" s="17" t="s">
        <v>32</v>
      </c>
      <c r="E64" s="17">
        <v>6</v>
      </c>
      <c r="F64" s="12">
        <v>0.82</v>
      </c>
      <c r="G64" s="12">
        <v>0.8</v>
      </c>
      <c r="H64" s="12">
        <v>0.78</v>
      </c>
      <c r="I64" s="16"/>
      <c r="J64" s="12">
        <f t="shared" si="1"/>
        <v>0</v>
      </c>
      <c r="K64" s="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</row>
    <row r="65" spans="1:61" x14ac:dyDescent="0.35">
      <c r="A65" s="1"/>
      <c r="B65" s="7" t="s">
        <v>121</v>
      </c>
      <c r="C65" s="7" t="s">
        <v>122</v>
      </c>
      <c r="D65" s="17">
        <v>1350</v>
      </c>
      <c r="E65" s="17">
        <v>12</v>
      </c>
      <c r="F65" s="12">
        <v>0.75</v>
      </c>
      <c r="G65" s="12">
        <v>0.74</v>
      </c>
      <c r="H65" s="12">
        <v>0.72</v>
      </c>
      <c r="I65" s="16"/>
      <c r="J65" s="12">
        <f t="shared" si="1"/>
        <v>0</v>
      </c>
      <c r="K65" s="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</row>
    <row r="66" spans="1:61" x14ac:dyDescent="0.35">
      <c r="A66" s="1"/>
      <c r="B66" s="7" t="s">
        <v>123</v>
      </c>
      <c r="C66" s="7" t="s">
        <v>124</v>
      </c>
      <c r="D66" s="17" t="s">
        <v>32</v>
      </c>
      <c r="E66" s="17">
        <v>6</v>
      </c>
      <c r="F66" s="12">
        <v>0.64</v>
      </c>
      <c r="G66" s="12">
        <v>0.63</v>
      </c>
      <c r="H66" s="12">
        <v>0.61</v>
      </c>
      <c r="I66" s="16"/>
      <c r="J66" s="12">
        <f t="shared" si="1"/>
        <v>0</v>
      </c>
      <c r="K66" s="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</row>
    <row r="67" spans="1:61" x14ac:dyDescent="0.35">
      <c r="A67" s="1"/>
      <c r="B67" s="7" t="s">
        <v>125</v>
      </c>
      <c r="C67" s="7" t="s">
        <v>126</v>
      </c>
      <c r="D67" s="17" t="s">
        <v>32</v>
      </c>
      <c r="E67" s="17">
        <v>6</v>
      </c>
      <c r="F67" s="12">
        <v>0.98</v>
      </c>
      <c r="G67" s="12">
        <v>0.96</v>
      </c>
      <c r="H67" s="12">
        <v>0.94</v>
      </c>
      <c r="I67" s="16"/>
      <c r="J67" s="12">
        <f t="shared" si="1"/>
        <v>0</v>
      </c>
      <c r="K67" s="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</row>
    <row r="68" spans="1:61" x14ac:dyDescent="0.35">
      <c r="A68" s="1"/>
      <c r="B68" s="7" t="s">
        <v>127</v>
      </c>
      <c r="C68" s="7" t="s">
        <v>128</v>
      </c>
      <c r="D68" s="17" t="s">
        <v>32</v>
      </c>
      <c r="E68" s="17">
        <v>6</v>
      </c>
      <c r="F68" s="12">
        <v>0.82</v>
      </c>
      <c r="G68" s="12">
        <v>0.8</v>
      </c>
      <c r="H68" s="12">
        <v>0.78</v>
      </c>
      <c r="I68" s="16"/>
      <c r="J68" s="12">
        <f t="shared" si="1"/>
        <v>0</v>
      </c>
      <c r="K68" s="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</row>
    <row r="69" spans="1:61" x14ac:dyDescent="0.35">
      <c r="A69" s="1"/>
      <c r="B69" s="7" t="s">
        <v>129</v>
      </c>
      <c r="C69" s="7" t="s">
        <v>130</v>
      </c>
      <c r="D69" s="17" t="s">
        <v>32</v>
      </c>
      <c r="E69" s="17">
        <v>12</v>
      </c>
      <c r="F69" s="12">
        <v>0.75</v>
      </c>
      <c r="G69" s="12">
        <v>0.74</v>
      </c>
      <c r="H69" s="12">
        <v>0.72</v>
      </c>
      <c r="I69" s="16"/>
      <c r="J69" s="12">
        <f t="shared" si="1"/>
        <v>0</v>
      </c>
      <c r="K69" s="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</row>
    <row r="70" spans="1:61" x14ac:dyDescent="0.35">
      <c r="A70" s="1"/>
      <c r="B70" s="7" t="s">
        <v>131</v>
      </c>
      <c r="C70" s="7" t="s">
        <v>132</v>
      </c>
      <c r="D70" s="17">
        <v>144</v>
      </c>
      <c r="E70" s="17">
        <v>36</v>
      </c>
      <c r="F70" s="12">
        <v>24.44</v>
      </c>
      <c r="G70" s="12">
        <v>23.97</v>
      </c>
      <c r="H70" s="12">
        <v>23.5</v>
      </c>
      <c r="I70" s="16"/>
      <c r="J70" s="12">
        <f t="shared" si="1"/>
        <v>0</v>
      </c>
      <c r="K70" s="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</row>
    <row r="71" spans="1:61" x14ac:dyDescent="0.35">
      <c r="A71" s="1"/>
      <c r="B71" s="7" t="s">
        <v>133</v>
      </c>
      <c r="C71" s="7" t="s">
        <v>134</v>
      </c>
      <c r="D71" s="17">
        <v>294</v>
      </c>
      <c r="E71" s="17">
        <v>6</v>
      </c>
      <c r="F71" s="12">
        <v>24.44</v>
      </c>
      <c r="G71" s="12">
        <v>23.97</v>
      </c>
      <c r="H71" s="12">
        <v>23.5</v>
      </c>
      <c r="I71" s="16"/>
      <c r="J71" s="12">
        <f t="shared" si="1"/>
        <v>0</v>
      </c>
      <c r="K71" s="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</row>
    <row r="72" spans="1:61" x14ac:dyDescent="0.35">
      <c r="A72" s="1"/>
      <c r="B72" s="7" t="s">
        <v>135</v>
      </c>
      <c r="C72" s="7" t="s">
        <v>136</v>
      </c>
      <c r="D72" s="17">
        <v>384</v>
      </c>
      <c r="E72" s="17">
        <v>36</v>
      </c>
      <c r="F72" s="12">
        <v>14.82</v>
      </c>
      <c r="G72" s="12">
        <v>14.54</v>
      </c>
      <c r="H72" s="12">
        <v>14.25</v>
      </c>
      <c r="I72" s="16"/>
      <c r="J72" s="12">
        <f t="shared" si="1"/>
        <v>0</v>
      </c>
      <c r="K72" s="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</row>
    <row r="73" spans="1:61" x14ac:dyDescent="0.35">
      <c r="A73" s="1"/>
      <c r="B73" s="7" t="s">
        <v>137</v>
      </c>
      <c r="C73" s="7" t="s">
        <v>138</v>
      </c>
      <c r="D73" s="17">
        <v>573</v>
      </c>
      <c r="E73" s="17">
        <v>12</v>
      </c>
      <c r="F73" s="12">
        <v>31.15</v>
      </c>
      <c r="G73" s="12">
        <v>30.55</v>
      </c>
      <c r="H73" s="12">
        <v>29.95</v>
      </c>
      <c r="I73" s="16"/>
      <c r="J73" s="12">
        <f t="shared" si="1"/>
        <v>0</v>
      </c>
      <c r="K73" s="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</row>
    <row r="74" spans="1:61" x14ac:dyDescent="0.35">
      <c r="A74" s="1"/>
      <c r="B74" s="7" t="s">
        <v>139</v>
      </c>
      <c r="C74" s="7" t="s">
        <v>140</v>
      </c>
      <c r="D74" s="17">
        <v>156</v>
      </c>
      <c r="E74" s="17">
        <v>3</v>
      </c>
      <c r="F74" s="12">
        <v>9.31</v>
      </c>
      <c r="G74" s="12">
        <v>9.1300000000000008</v>
      </c>
      <c r="H74" s="12">
        <v>8.9499999999999993</v>
      </c>
      <c r="I74" s="16"/>
      <c r="J74" s="12">
        <f t="shared" si="1"/>
        <v>0</v>
      </c>
      <c r="K74" s="8" t="s">
        <v>43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</row>
    <row r="75" spans="1:61" x14ac:dyDescent="0.35">
      <c r="A75" s="1"/>
      <c r="B75" s="7" t="s">
        <v>141</v>
      </c>
      <c r="C75" s="7" t="s">
        <v>142</v>
      </c>
      <c r="D75" s="17">
        <v>1344</v>
      </c>
      <c r="E75" s="17">
        <v>12</v>
      </c>
      <c r="F75" s="12">
        <v>5.93</v>
      </c>
      <c r="G75" s="12">
        <v>5.82</v>
      </c>
      <c r="H75" s="12">
        <v>5.7</v>
      </c>
      <c r="I75" s="16"/>
      <c r="J75" s="12">
        <f t="shared" si="1"/>
        <v>0</v>
      </c>
      <c r="K75" s="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</row>
    <row r="76" spans="1:61" x14ac:dyDescent="0.35">
      <c r="A76" s="1"/>
      <c r="B76" s="7" t="s">
        <v>143</v>
      </c>
      <c r="C76" s="7" t="s">
        <v>144</v>
      </c>
      <c r="D76" s="17">
        <v>852</v>
      </c>
      <c r="E76" s="17">
        <v>12</v>
      </c>
      <c r="F76" s="12">
        <v>13.47</v>
      </c>
      <c r="G76" s="12">
        <v>13.21</v>
      </c>
      <c r="H76" s="12">
        <v>12.95</v>
      </c>
      <c r="I76" s="16"/>
      <c r="J76" s="12">
        <f t="shared" si="1"/>
        <v>0</v>
      </c>
      <c r="K76" s="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</row>
    <row r="77" spans="1:61" x14ac:dyDescent="0.35">
      <c r="A77" s="1"/>
      <c r="B77" s="7" t="s">
        <v>145</v>
      </c>
      <c r="C77" s="7" t="s">
        <v>146</v>
      </c>
      <c r="D77" s="17">
        <v>816</v>
      </c>
      <c r="E77" s="17">
        <v>12</v>
      </c>
      <c r="F77" s="12">
        <v>5.93</v>
      </c>
      <c r="G77" s="12">
        <v>5.82</v>
      </c>
      <c r="H77" s="12">
        <v>5.7</v>
      </c>
      <c r="I77" s="16"/>
      <c r="J77" s="12">
        <f t="shared" ref="J77:J86" si="2">I77*IF(I77&lt;100,F77,IF(I77&lt;240,G77,H77))</f>
        <v>0</v>
      </c>
      <c r="K77" s="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</row>
    <row r="78" spans="1:61" x14ac:dyDescent="0.35">
      <c r="A78" s="1"/>
      <c r="B78" s="7" t="s">
        <v>147</v>
      </c>
      <c r="C78" s="7" t="s">
        <v>148</v>
      </c>
      <c r="D78" s="17">
        <v>36</v>
      </c>
      <c r="E78" s="17">
        <v>12</v>
      </c>
      <c r="F78" s="12">
        <v>13.47</v>
      </c>
      <c r="G78" s="12">
        <v>13.21</v>
      </c>
      <c r="H78" s="12">
        <v>12.95</v>
      </c>
      <c r="I78" s="16"/>
      <c r="J78" s="12">
        <f t="shared" si="2"/>
        <v>0</v>
      </c>
      <c r="K78" s="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</row>
    <row r="79" spans="1:61" x14ac:dyDescent="0.35">
      <c r="A79" s="1"/>
      <c r="B79" s="7" t="s">
        <v>149</v>
      </c>
      <c r="C79" s="7" t="s">
        <v>150</v>
      </c>
      <c r="D79" s="17">
        <v>1764</v>
      </c>
      <c r="E79" s="17">
        <v>12</v>
      </c>
      <c r="F79" s="12">
        <v>5.93</v>
      </c>
      <c r="G79" s="12">
        <v>5.82</v>
      </c>
      <c r="H79" s="12">
        <v>5.7</v>
      </c>
      <c r="I79" s="16"/>
      <c r="J79" s="12">
        <f t="shared" si="2"/>
        <v>0</v>
      </c>
      <c r="K79" s="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</row>
    <row r="80" spans="1:61" x14ac:dyDescent="0.35">
      <c r="A80" s="1"/>
      <c r="B80" s="7" t="s">
        <v>151</v>
      </c>
      <c r="C80" s="7" t="s">
        <v>152</v>
      </c>
      <c r="D80" s="17">
        <v>911</v>
      </c>
      <c r="E80" s="17">
        <v>12</v>
      </c>
      <c r="F80" s="12">
        <v>13.47</v>
      </c>
      <c r="G80" s="12">
        <v>13.21</v>
      </c>
      <c r="H80" s="12">
        <v>12.95</v>
      </c>
      <c r="I80" s="16"/>
      <c r="J80" s="12">
        <f t="shared" si="2"/>
        <v>0</v>
      </c>
      <c r="K80" s="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</row>
    <row r="81" spans="1:61" x14ac:dyDescent="0.35">
      <c r="A81" s="1"/>
      <c r="B81" s="7" t="s">
        <v>153</v>
      </c>
      <c r="C81" s="7" t="s">
        <v>154</v>
      </c>
      <c r="D81" s="17">
        <v>1320</v>
      </c>
      <c r="E81" s="17">
        <v>12</v>
      </c>
      <c r="F81" s="12">
        <v>6.19</v>
      </c>
      <c r="G81" s="12">
        <v>6.07</v>
      </c>
      <c r="H81" s="12">
        <v>5.95</v>
      </c>
      <c r="I81" s="16"/>
      <c r="J81" s="12">
        <f t="shared" si="2"/>
        <v>0</v>
      </c>
      <c r="K81" s="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</row>
    <row r="82" spans="1:61" x14ac:dyDescent="0.35">
      <c r="A82" s="1"/>
      <c r="B82" s="7" t="s">
        <v>155</v>
      </c>
      <c r="C82" s="7" t="s">
        <v>154</v>
      </c>
      <c r="D82" s="17">
        <v>924</v>
      </c>
      <c r="E82" s="17">
        <v>12</v>
      </c>
      <c r="F82" s="12">
        <v>6.19</v>
      </c>
      <c r="G82" s="12">
        <v>6.07</v>
      </c>
      <c r="H82" s="12">
        <v>5.95</v>
      </c>
      <c r="I82" s="16"/>
      <c r="J82" s="12">
        <f t="shared" si="2"/>
        <v>0</v>
      </c>
      <c r="K82" s="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</row>
    <row r="83" spans="1:61" x14ac:dyDescent="0.35">
      <c r="A83" s="1"/>
      <c r="B83" s="7" t="s">
        <v>156</v>
      </c>
      <c r="C83" s="7" t="s">
        <v>157</v>
      </c>
      <c r="D83" s="17">
        <v>1752</v>
      </c>
      <c r="E83" s="17">
        <v>12</v>
      </c>
      <c r="F83" s="12">
        <v>14.04</v>
      </c>
      <c r="G83" s="12">
        <v>13.77</v>
      </c>
      <c r="H83" s="12">
        <v>13.5</v>
      </c>
      <c r="I83" s="16"/>
      <c r="J83" s="12">
        <f t="shared" si="2"/>
        <v>0</v>
      </c>
      <c r="K83" s="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</row>
    <row r="84" spans="1:61" x14ac:dyDescent="0.35">
      <c r="A84" s="1"/>
      <c r="B84" s="7" t="s">
        <v>158</v>
      </c>
      <c r="C84" s="7" t="s">
        <v>159</v>
      </c>
      <c r="D84" s="17" t="s">
        <v>32</v>
      </c>
      <c r="E84" s="17">
        <v>24</v>
      </c>
      <c r="F84" s="12">
        <v>2.0299999999999998</v>
      </c>
      <c r="G84" s="12">
        <v>1.99</v>
      </c>
      <c r="H84" s="12">
        <v>1.95</v>
      </c>
      <c r="I84" s="16"/>
      <c r="J84" s="12">
        <f t="shared" si="2"/>
        <v>0</v>
      </c>
      <c r="K84" s="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</row>
    <row r="85" spans="1:61" x14ac:dyDescent="0.35">
      <c r="A85" s="1"/>
      <c r="B85" s="7" t="s">
        <v>160</v>
      </c>
      <c r="C85" s="7" t="s">
        <v>161</v>
      </c>
      <c r="D85" s="17">
        <v>448</v>
      </c>
      <c r="E85" s="17">
        <v>27</v>
      </c>
      <c r="F85" s="12">
        <v>29.07</v>
      </c>
      <c r="G85" s="12">
        <v>28.51</v>
      </c>
      <c r="H85" s="12">
        <v>27.95</v>
      </c>
      <c r="I85" s="16"/>
      <c r="J85" s="12">
        <f t="shared" si="2"/>
        <v>0</v>
      </c>
      <c r="K85" s="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</row>
    <row r="86" spans="1:61" x14ac:dyDescent="0.35">
      <c r="A86" s="1"/>
      <c r="B86" s="7" t="s">
        <v>162</v>
      </c>
      <c r="C86" s="7" t="s">
        <v>163</v>
      </c>
      <c r="D86" s="17">
        <v>294</v>
      </c>
      <c r="E86" s="17">
        <v>48</v>
      </c>
      <c r="F86" s="12">
        <v>25.95</v>
      </c>
      <c r="G86" s="12">
        <v>25.45</v>
      </c>
      <c r="H86" s="12">
        <v>24.95</v>
      </c>
      <c r="I86" s="16"/>
      <c r="J86" s="12">
        <f t="shared" si="2"/>
        <v>0</v>
      </c>
      <c r="K86" s="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</row>
    <row r="87" spans="1:61" x14ac:dyDescent="0.35">
      <c r="A87" s="1"/>
      <c r="B87" s="1"/>
      <c r="C87" s="1"/>
      <c r="D87" s="1"/>
      <c r="E87" s="1"/>
      <c r="F87" s="9"/>
      <c r="G87" s="9"/>
      <c r="H87" s="9"/>
      <c r="I87" s="13"/>
      <c r="J87" s="9"/>
      <c r="K87" s="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</row>
    <row r="88" spans="1:61" ht="26" x14ac:dyDescent="0.6">
      <c r="A88" s="1"/>
      <c r="B88" s="5" t="s">
        <v>164</v>
      </c>
      <c r="C88" s="5"/>
      <c r="D88" s="5"/>
      <c r="E88" s="5"/>
      <c r="F88" s="10"/>
      <c r="G88" s="10"/>
      <c r="H88" s="10"/>
      <c r="I88" s="14"/>
      <c r="J88" s="10"/>
      <c r="K88" s="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</row>
    <row r="89" spans="1:61" ht="29" x14ac:dyDescent="0.35">
      <c r="A89" s="1"/>
      <c r="B89" s="6" t="s">
        <v>5</v>
      </c>
      <c r="C89" s="6" t="s">
        <v>6</v>
      </c>
      <c r="D89" s="6" t="s">
        <v>7</v>
      </c>
      <c r="E89" s="6" t="s">
        <v>8</v>
      </c>
      <c r="F89" s="11" t="s">
        <v>9</v>
      </c>
      <c r="G89" s="11" t="s">
        <v>10</v>
      </c>
      <c r="H89" s="11" t="s">
        <v>11</v>
      </c>
      <c r="I89" s="15" t="s">
        <v>12</v>
      </c>
      <c r="J89" s="11" t="s">
        <v>13</v>
      </c>
      <c r="K89" s="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</row>
    <row r="90" spans="1:61" x14ac:dyDescent="0.35">
      <c r="A90" s="1"/>
      <c r="B90" s="7" t="s">
        <v>165</v>
      </c>
      <c r="C90" s="7" t="s">
        <v>166</v>
      </c>
      <c r="D90" s="17">
        <v>83</v>
      </c>
      <c r="E90" s="17">
        <v>19</v>
      </c>
      <c r="F90" s="12">
        <v>22.83</v>
      </c>
      <c r="G90" s="12">
        <v>22.39</v>
      </c>
      <c r="H90" s="12">
        <v>21.95</v>
      </c>
      <c r="I90" s="16"/>
      <c r="J90" s="12">
        <f t="shared" ref="J90:J135" si="3">I90*IF(I90&lt;100,F90,IF(I90&lt;240,G90,H90))</f>
        <v>0</v>
      </c>
      <c r="K90" s="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</row>
    <row r="91" spans="1:61" x14ac:dyDescent="0.35">
      <c r="A91" s="1"/>
      <c r="B91" s="7" t="s">
        <v>167</v>
      </c>
      <c r="C91" s="7" t="s">
        <v>168</v>
      </c>
      <c r="D91" s="17">
        <v>1932</v>
      </c>
      <c r="E91" s="17">
        <v>84</v>
      </c>
      <c r="F91" s="12">
        <v>4.53</v>
      </c>
      <c r="G91" s="12">
        <v>4.4400000000000004</v>
      </c>
      <c r="H91" s="12">
        <v>4.3499999999999996</v>
      </c>
      <c r="I91" s="16"/>
      <c r="J91" s="12">
        <f t="shared" si="3"/>
        <v>0</v>
      </c>
      <c r="K91" s="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</row>
    <row r="92" spans="1:61" x14ac:dyDescent="0.35">
      <c r="A92" s="1"/>
      <c r="B92" s="7" t="s">
        <v>169</v>
      </c>
      <c r="C92" s="7" t="s">
        <v>170</v>
      </c>
      <c r="D92" s="17" t="s">
        <v>32</v>
      </c>
      <c r="E92" s="17">
        <v>21</v>
      </c>
      <c r="F92" s="12">
        <v>13.99</v>
      </c>
      <c r="G92" s="12">
        <v>13.72</v>
      </c>
      <c r="H92" s="12">
        <v>13.45</v>
      </c>
      <c r="I92" s="16"/>
      <c r="J92" s="12">
        <f t="shared" si="3"/>
        <v>0</v>
      </c>
      <c r="K92" s="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</row>
    <row r="93" spans="1:61" x14ac:dyDescent="0.35">
      <c r="A93" s="1"/>
      <c r="B93" s="7" t="s">
        <v>171</v>
      </c>
      <c r="C93" s="7" t="s">
        <v>172</v>
      </c>
      <c r="D93" s="17">
        <v>1791</v>
      </c>
      <c r="E93" s="17">
        <v>21</v>
      </c>
      <c r="F93" s="12">
        <v>11.29</v>
      </c>
      <c r="G93" s="12">
        <v>11.07</v>
      </c>
      <c r="H93" s="12">
        <v>10.85</v>
      </c>
      <c r="I93" s="16"/>
      <c r="J93" s="12">
        <f t="shared" si="3"/>
        <v>0</v>
      </c>
      <c r="K93" s="8" t="s">
        <v>98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</row>
    <row r="94" spans="1:61" x14ac:dyDescent="0.35">
      <c r="A94" s="1"/>
      <c r="B94" s="7" t="s">
        <v>173</v>
      </c>
      <c r="C94" s="7" t="s">
        <v>174</v>
      </c>
      <c r="D94" s="17">
        <v>1395</v>
      </c>
      <c r="E94" s="17">
        <v>24</v>
      </c>
      <c r="F94" s="12">
        <v>10.66</v>
      </c>
      <c r="G94" s="12">
        <v>10.46</v>
      </c>
      <c r="H94" s="12">
        <v>10.25</v>
      </c>
      <c r="I94" s="16"/>
      <c r="J94" s="12">
        <f t="shared" si="3"/>
        <v>0</v>
      </c>
      <c r="K94" s="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</row>
    <row r="95" spans="1:61" x14ac:dyDescent="0.35">
      <c r="A95" s="1"/>
      <c r="B95" s="7" t="s">
        <v>175</v>
      </c>
      <c r="C95" s="7" t="s">
        <v>176</v>
      </c>
      <c r="D95" s="17" t="s">
        <v>32</v>
      </c>
      <c r="E95" s="17">
        <v>24</v>
      </c>
      <c r="F95" s="12">
        <v>14.56</v>
      </c>
      <c r="G95" s="12">
        <v>14.28</v>
      </c>
      <c r="H95" s="12">
        <v>14</v>
      </c>
      <c r="I95" s="16"/>
      <c r="J95" s="12">
        <f t="shared" si="3"/>
        <v>0</v>
      </c>
      <c r="K95" s="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</row>
    <row r="96" spans="1:61" x14ac:dyDescent="0.35">
      <c r="A96" s="1"/>
      <c r="B96" s="7" t="s">
        <v>177</v>
      </c>
      <c r="C96" s="7" t="s">
        <v>178</v>
      </c>
      <c r="D96" s="17" t="s">
        <v>32</v>
      </c>
      <c r="E96" s="17">
        <v>20</v>
      </c>
      <c r="F96" s="12">
        <v>13</v>
      </c>
      <c r="G96" s="12">
        <v>12.75</v>
      </c>
      <c r="H96" s="12">
        <v>12.5</v>
      </c>
      <c r="I96" s="16"/>
      <c r="J96" s="12">
        <f t="shared" si="3"/>
        <v>0</v>
      </c>
      <c r="K96" s="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</row>
    <row r="97" spans="1:61" x14ac:dyDescent="0.35">
      <c r="A97" s="1"/>
      <c r="B97" s="7" t="s">
        <v>179</v>
      </c>
      <c r="C97" s="7" t="s">
        <v>180</v>
      </c>
      <c r="D97" s="17">
        <v>1764</v>
      </c>
      <c r="E97" s="17">
        <v>84</v>
      </c>
      <c r="F97" s="12">
        <v>5.15</v>
      </c>
      <c r="G97" s="12">
        <v>5.05</v>
      </c>
      <c r="H97" s="12">
        <v>4.95</v>
      </c>
      <c r="I97" s="16"/>
      <c r="J97" s="12">
        <f t="shared" si="3"/>
        <v>0</v>
      </c>
      <c r="K97" s="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</row>
    <row r="98" spans="1:61" x14ac:dyDescent="0.35">
      <c r="A98" s="1"/>
      <c r="B98" s="7" t="s">
        <v>181</v>
      </c>
      <c r="C98" s="7" t="s">
        <v>182</v>
      </c>
      <c r="D98" s="17">
        <v>2091</v>
      </c>
      <c r="E98" s="17">
        <v>24</v>
      </c>
      <c r="F98" s="12">
        <v>12.28</v>
      </c>
      <c r="G98" s="12">
        <v>12.04</v>
      </c>
      <c r="H98" s="12">
        <v>11.8</v>
      </c>
      <c r="I98" s="16"/>
      <c r="J98" s="12">
        <f t="shared" si="3"/>
        <v>0</v>
      </c>
      <c r="K98" s="8" t="s">
        <v>98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</row>
    <row r="99" spans="1:61" x14ac:dyDescent="0.35">
      <c r="A99" s="1"/>
      <c r="B99" s="7" t="s">
        <v>183</v>
      </c>
      <c r="C99" s="7" t="s">
        <v>184</v>
      </c>
      <c r="D99" s="17">
        <v>2352</v>
      </c>
      <c r="E99" s="17">
        <v>84</v>
      </c>
      <c r="F99" s="12">
        <v>5.15</v>
      </c>
      <c r="G99" s="12">
        <v>5.05</v>
      </c>
      <c r="H99" s="12">
        <v>4.95</v>
      </c>
      <c r="I99" s="16"/>
      <c r="J99" s="12">
        <f t="shared" si="3"/>
        <v>0</v>
      </c>
      <c r="K99" s="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</row>
    <row r="100" spans="1:61" x14ac:dyDescent="0.35">
      <c r="A100" s="1"/>
      <c r="B100" s="7" t="s">
        <v>185</v>
      </c>
      <c r="C100" s="7" t="s">
        <v>186</v>
      </c>
      <c r="D100" s="17" t="s">
        <v>32</v>
      </c>
      <c r="E100" s="17">
        <v>24</v>
      </c>
      <c r="F100" s="12">
        <v>13.89</v>
      </c>
      <c r="G100" s="12">
        <v>13.62</v>
      </c>
      <c r="H100" s="12">
        <v>13.35</v>
      </c>
      <c r="I100" s="16"/>
      <c r="J100" s="12">
        <f t="shared" si="3"/>
        <v>0</v>
      </c>
      <c r="K100" s="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</row>
    <row r="101" spans="1:61" x14ac:dyDescent="0.35">
      <c r="A101" s="1"/>
      <c r="B101" s="7" t="s">
        <v>187</v>
      </c>
      <c r="C101" s="7" t="s">
        <v>188</v>
      </c>
      <c r="D101" s="17">
        <v>84</v>
      </c>
      <c r="E101" s="17">
        <v>15</v>
      </c>
      <c r="F101" s="12">
        <v>59.23</v>
      </c>
      <c r="G101" s="12">
        <v>58.09</v>
      </c>
      <c r="H101" s="12">
        <v>56.95</v>
      </c>
      <c r="I101" s="16"/>
      <c r="J101" s="12">
        <f t="shared" si="3"/>
        <v>0</v>
      </c>
      <c r="K101" s="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</row>
    <row r="102" spans="1:61" x14ac:dyDescent="0.35">
      <c r="A102" s="1"/>
      <c r="B102" s="7" t="s">
        <v>189</v>
      </c>
      <c r="C102" s="7" t="s">
        <v>190</v>
      </c>
      <c r="D102" s="17">
        <v>192</v>
      </c>
      <c r="E102" s="17">
        <v>48</v>
      </c>
      <c r="F102" s="12">
        <v>6.87</v>
      </c>
      <c r="G102" s="12">
        <v>6.74</v>
      </c>
      <c r="H102" s="12">
        <v>6.6</v>
      </c>
      <c r="I102" s="16"/>
      <c r="J102" s="12">
        <f t="shared" si="3"/>
        <v>0</v>
      </c>
      <c r="K102" s="8" t="s">
        <v>43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</row>
    <row r="103" spans="1:61" x14ac:dyDescent="0.35">
      <c r="A103" s="1"/>
      <c r="B103" s="7" t="s">
        <v>191</v>
      </c>
      <c r="C103" s="7" t="s">
        <v>192</v>
      </c>
      <c r="D103" s="17" t="s">
        <v>32</v>
      </c>
      <c r="E103" s="17">
        <v>48</v>
      </c>
      <c r="F103" s="12">
        <v>1.82</v>
      </c>
      <c r="G103" s="12">
        <v>1.79</v>
      </c>
      <c r="H103" s="12">
        <v>1.75</v>
      </c>
      <c r="I103" s="16"/>
      <c r="J103" s="12">
        <f t="shared" si="3"/>
        <v>0</v>
      </c>
      <c r="K103" s="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</row>
    <row r="104" spans="1:61" x14ac:dyDescent="0.35">
      <c r="A104" s="1"/>
      <c r="B104" s="7" t="s">
        <v>193</v>
      </c>
      <c r="C104" s="7" t="s">
        <v>194</v>
      </c>
      <c r="D104" s="17" t="s">
        <v>32</v>
      </c>
      <c r="E104" s="17">
        <v>15</v>
      </c>
      <c r="F104" s="12">
        <v>10.4</v>
      </c>
      <c r="G104" s="12">
        <v>10.199999999999999</v>
      </c>
      <c r="H104" s="12">
        <v>10</v>
      </c>
      <c r="I104" s="16"/>
      <c r="J104" s="12">
        <f t="shared" si="3"/>
        <v>0</v>
      </c>
      <c r="K104" s="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</row>
    <row r="105" spans="1:61" x14ac:dyDescent="0.35">
      <c r="A105" s="1"/>
      <c r="B105" s="7" t="s">
        <v>195</v>
      </c>
      <c r="C105" s="7" t="s">
        <v>196</v>
      </c>
      <c r="D105" s="17">
        <v>227</v>
      </c>
      <c r="E105" s="17">
        <v>24</v>
      </c>
      <c r="F105" s="12">
        <v>3.64</v>
      </c>
      <c r="G105" s="12">
        <v>3.57</v>
      </c>
      <c r="H105" s="12">
        <v>3.5</v>
      </c>
      <c r="I105" s="16"/>
      <c r="J105" s="12">
        <f t="shared" si="3"/>
        <v>0</v>
      </c>
      <c r="K105" s="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</row>
    <row r="106" spans="1:61" x14ac:dyDescent="0.35">
      <c r="A106" s="1"/>
      <c r="B106" s="7" t="s">
        <v>197</v>
      </c>
      <c r="C106" s="7" t="s">
        <v>198</v>
      </c>
      <c r="D106" s="17">
        <v>1420</v>
      </c>
      <c r="E106" s="17">
        <v>25</v>
      </c>
      <c r="F106" s="12">
        <v>13.52</v>
      </c>
      <c r="G106" s="12">
        <v>13.26</v>
      </c>
      <c r="H106" s="12">
        <v>13</v>
      </c>
      <c r="I106" s="16"/>
      <c r="J106" s="12">
        <f t="shared" si="3"/>
        <v>0</v>
      </c>
      <c r="K106" s="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</row>
    <row r="107" spans="1:61" x14ac:dyDescent="0.35">
      <c r="A107" s="1"/>
      <c r="B107" s="7" t="s">
        <v>199</v>
      </c>
      <c r="C107" s="7" t="s">
        <v>200</v>
      </c>
      <c r="D107" s="17" t="s">
        <v>32</v>
      </c>
      <c r="E107" s="17">
        <v>50</v>
      </c>
      <c r="F107" s="12">
        <v>7.39</v>
      </c>
      <c r="G107" s="12">
        <v>7.25</v>
      </c>
      <c r="H107" s="12">
        <v>7.1</v>
      </c>
      <c r="I107" s="16"/>
      <c r="J107" s="12">
        <f t="shared" si="3"/>
        <v>0</v>
      </c>
      <c r="K107" s="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</row>
    <row r="108" spans="1:61" x14ac:dyDescent="0.35">
      <c r="A108" s="1"/>
      <c r="B108" s="7" t="s">
        <v>201</v>
      </c>
      <c r="C108" s="7" t="s">
        <v>202</v>
      </c>
      <c r="D108" s="17" t="s">
        <v>32</v>
      </c>
      <c r="E108" s="17">
        <v>24</v>
      </c>
      <c r="F108" s="12">
        <v>11.39</v>
      </c>
      <c r="G108" s="12">
        <v>11.17</v>
      </c>
      <c r="H108" s="12">
        <v>10.95</v>
      </c>
      <c r="I108" s="16"/>
      <c r="J108" s="12">
        <f t="shared" si="3"/>
        <v>0</v>
      </c>
      <c r="K108" s="8" t="s">
        <v>43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</row>
    <row r="109" spans="1:61" x14ac:dyDescent="0.35">
      <c r="A109" s="1"/>
      <c r="B109" s="7" t="s">
        <v>203</v>
      </c>
      <c r="C109" s="7" t="s">
        <v>204</v>
      </c>
      <c r="D109" s="17">
        <v>510</v>
      </c>
      <c r="E109" s="17">
        <v>15</v>
      </c>
      <c r="F109" s="12">
        <v>17.68</v>
      </c>
      <c r="G109" s="12">
        <v>17.34</v>
      </c>
      <c r="H109" s="12">
        <v>17</v>
      </c>
      <c r="I109" s="16"/>
      <c r="J109" s="12">
        <f t="shared" si="3"/>
        <v>0</v>
      </c>
      <c r="K109" s="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</row>
    <row r="110" spans="1:61" x14ac:dyDescent="0.35">
      <c r="A110" s="1"/>
      <c r="B110" s="7" t="s">
        <v>205</v>
      </c>
      <c r="C110" s="7" t="s">
        <v>206</v>
      </c>
      <c r="D110" s="17" t="s">
        <v>32</v>
      </c>
      <c r="E110" s="17">
        <v>15</v>
      </c>
      <c r="F110" s="12">
        <v>22.83</v>
      </c>
      <c r="G110" s="12">
        <v>22.39</v>
      </c>
      <c r="H110" s="12">
        <v>21.95</v>
      </c>
      <c r="I110" s="16"/>
      <c r="J110" s="12">
        <f t="shared" si="3"/>
        <v>0</v>
      </c>
      <c r="K110" s="8" t="s">
        <v>43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</row>
    <row r="111" spans="1:61" x14ac:dyDescent="0.35">
      <c r="A111" s="1"/>
      <c r="B111" s="7" t="s">
        <v>207</v>
      </c>
      <c r="C111" s="7" t="s">
        <v>208</v>
      </c>
      <c r="D111" s="17" t="s">
        <v>32</v>
      </c>
      <c r="E111" s="17">
        <v>15</v>
      </c>
      <c r="F111" s="12">
        <v>22.83</v>
      </c>
      <c r="G111" s="12">
        <v>22.39</v>
      </c>
      <c r="H111" s="12">
        <v>21.95</v>
      </c>
      <c r="I111" s="16"/>
      <c r="J111" s="12">
        <f t="shared" si="3"/>
        <v>0</v>
      </c>
      <c r="K111" s="8" t="s">
        <v>43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</row>
    <row r="112" spans="1:61" x14ac:dyDescent="0.35">
      <c r="A112" s="1"/>
      <c r="B112" s="7" t="s">
        <v>209</v>
      </c>
      <c r="C112" s="7" t="s">
        <v>210</v>
      </c>
      <c r="D112" s="17" t="s">
        <v>32</v>
      </c>
      <c r="E112" s="17">
        <v>15</v>
      </c>
      <c r="F112" s="12">
        <v>22.83</v>
      </c>
      <c r="G112" s="12">
        <v>22.39</v>
      </c>
      <c r="H112" s="12">
        <v>21.95</v>
      </c>
      <c r="I112" s="16"/>
      <c r="J112" s="12">
        <f t="shared" si="3"/>
        <v>0</v>
      </c>
      <c r="K112" s="8" t="s">
        <v>43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</row>
    <row r="113" spans="1:61" x14ac:dyDescent="0.35">
      <c r="A113" s="1"/>
      <c r="B113" s="7" t="s">
        <v>211</v>
      </c>
      <c r="C113" s="7" t="s">
        <v>212</v>
      </c>
      <c r="D113" s="17">
        <v>1832</v>
      </c>
      <c r="E113" s="17">
        <v>18</v>
      </c>
      <c r="F113" s="12">
        <v>19.5</v>
      </c>
      <c r="G113" s="12">
        <v>19.13</v>
      </c>
      <c r="H113" s="12">
        <v>18.75</v>
      </c>
      <c r="I113" s="16"/>
      <c r="J113" s="12">
        <f t="shared" si="3"/>
        <v>0</v>
      </c>
      <c r="K113" s="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</row>
    <row r="114" spans="1:61" x14ac:dyDescent="0.35">
      <c r="A114" s="1"/>
      <c r="B114" s="7" t="s">
        <v>213</v>
      </c>
      <c r="C114" s="7" t="s">
        <v>214</v>
      </c>
      <c r="D114" s="17" t="s">
        <v>32</v>
      </c>
      <c r="E114" s="17">
        <v>84</v>
      </c>
      <c r="F114" s="12">
        <v>6.76</v>
      </c>
      <c r="G114" s="12">
        <v>6.63</v>
      </c>
      <c r="H114" s="12">
        <v>6.5</v>
      </c>
      <c r="I114" s="16"/>
      <c r="J114" s="12">
        <f t="shared" si="3"/>
        <v>0</v>
      </c>
      <c r="K114" s="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</row>
    <row r="115" spans="1:61" x14ac:dyDescent="0.35">
      <c r="A115" s="1"/>
      <c r="B115" s="7" t="s">
        <v>215</v>
      </c>
      <c r="C115" s="7" t="s">
        <v>216</v>
      </c>
      <c r="D115" s="17">
        <v>2207</v>
      </c>
      <c r="E115" s="17">
        <v>48</v>
      </c>
      <c r="F115" s="12">
        <v>5.98</v>
      </c>
      <c r="G115" s="12">
        <v>5.87</v>
      </c>
      <c r="H115" s="12">
        <v>5.75</v>
      </c>
      <c r="I115" s="16"/>
      <c r="J115" s="12">
        <f t="shared" si="3"/>
        <v>0</v>
      </c>
      <c r="K115" s="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</row>
    <row r="116" spans="1:61" x14ac:dyDescent="0.35">
      <c r="A116" s="1"/>
      <c r="B116" s="7" t="s">
        <v>217</v>
      </c>
      <c r="C116" s="7" t="s">
        <v>218</v>
      </c>
      <c r="D116" s="17" t="s">
        <v>32</v>
      </c>
      <c r="E116" s="17">
        <v>84</v>
      </c>
      <c r="F116" s="12">
        <v>6.76</v>
      </c>
      <c r="G116" s="12">
        <v>6.63</v>
      </c>
      <c r="H116" s="12">
        <v>6.5</v>
      </c>
      <c r="I116" s="16"/>
      <c r="J116" s="12">
        <f t="shared" si="3"/>
        <v>0</v>
      </c>
      <c r="K116" s="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</row>
    <row r="117" spans="1:61" x14ac:dyDescent="0.35">
      <c r="A117" s="1"/>
      <c r="B117" s="7" t="s">
        <v>219</v>
      </c>
      <c r="C117" s="7" t="s">
        <v>220</v>
      </c>
      <c r="D117" s="17" t="s">
        <v>32</v>
      </c>
      <c r="E117" s="17">
        <v>18</v>
      </c>
      <c r="F117" s="12">
        <v>16.59</v>
      </c>
      <c r="G117" s="12">
        <v>16.27</v>
      </c>
      <c r="H117" s="12">
        <v>15.95</v>
      </c>
      <c r="I117" s="16"/>
      <c r="J117" s="12">
        <f t="shared" si="3"/>
        <v>0</v>
      </c>
      <c r="K117" s="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</row>
    <row r="118" spans="1:61" x14ac:dyDescent="0.35">
      <c r="A118" s="1"/>
      <c r="B118" s="7" t="s">
        <v>221</v>
      </c>
      <c r="C118" s="7" t="s">
        <v>222</v>
      </c>
      <c r="D118" s="17" t="s">
        <v>32</v>
      </c>
      <c r="E118" s="17">
        <v>48</v>
      </c>
      <c r="F118" s="12">
        <v>7.18</v>
      </c>
      <c r="G118" s="12">
        <v>7.04</v>
      </c>
      <c r="H118" s="12">
        <v>6.9</v>
      </c>
      <c r="I118" s="16"/>
      <c r="J118" s="12">
        <f t="shared" si="3"/>
        <v>0</v>
      </c>
      <c r="K118" s="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</row>
    <row r="119" spans="1:61" x14ac:dyDescent="0.35">
      <c r="A119" s="1"/>
      <c r="B119" s="7" t="s">
        <v>223</v>
      </c>
      <c r="C119" s="7" t="s">
        <v>224</v>
      </c>
      <c r="D119" s="17">
        <v>8</v>
      </c>
      <c r="E119" s="17">
        <v>56</v>
      </c>
      <c r="F119" s="12">
        <v>9.31</v>
      </c>
      <c r="G119" s="12">
        <v>9.1300000000000008</v>
      </c>
      <c r="H119" s="12">
        <v>8.9499999999999993</v>
      </c>
      <c r="I119" s="16"/>
      <c r="J119" s="12">
        <f t="shared" si="3"/>
        <v>0</v>
      </c>
      <c r="K119" s="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</row>
    <row r="120" spans="1:61" x14ac:dyDescent="0.35">
      <c r="A120" s="1"/>
      <c r="B120" s="7" t="s">
        <v>225</v>
      </c>
      <c r="C120" s="7" t="s">
        <v>226</v>
      </c>
      <c r="D120" s="17">
        <v>905</v>
      </c>
      <c r="E120" s="17">
        <v>56</v>
      </c>
      <c r="F120" s="12">
        <v>11.96</v>
      </c>
      <c r="G120" s="12">
        <v>11.73</v>
      </c>
      <c r="H120" s="12">
        <v>11.5</v>
      </c>
      <c r="I120" s="16"/>
      <c r="J120" s="12">
        <f t="shared" si="3"/>
        <v>0</v>
      </c>
      <c r="K120" s="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</row>
    <row r="121" spans="1:61" x14ac:dyDescent="0.35">
      <c r="A121" s="1"/>
      <c r="B121" s="7" t="s">
        <v>227</v>
      </c>
      <c r="C121" s="7" t="s">
        <v>228</v>
      </c>
      <c r="D121" s="17">
        <v>156</v>
      </c>
      <c r="E121" s="17">
        <v>24</v>
      </c>
      <c r="F121" s="12">
        <v>34.270000000000003</v>
      </c>
      <c r="G121" s="12">
        <v>33.61</v>
      </c>
      <c r="H121" s="12">
        <v>32.950000000000003</v>
      </c>
      <c r="I121" s="16"/>
      <c r="J121" s="12">
        <f t="shared" si="3"/>
        <v>0</v>
      </c>
      <c r="K121" s="8" t="s">
        <v>43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</row>
    <row r="122" spans="1:61" x14ac:dyDescent="0.35">
      <c r="A122" s="1"/>
      <c r="B122" s="7" t="s">
        <v>229</v>
      </c>
      <c r="C122" s="7" t="s">
        <v>230</v>
      </c>
      <c r="D122" s="17">
        <v>45</v>
      </c>
      <c r="E122" s="17">
        <v>45</v>
      </c>
      <c r="F122" s="12">
        <v>12.74</v>
      </c>
      <c r="G122" s="12">
        <v>12.5</v>
      </c>
      <c r="H122" s="12">
        <v>12.25</v>
      </c>
      <c r="I122" s="16"/>
      <c r="J122" s="12">
        <f t="shared" si="3"/>
        <v>0</v>
      </c>
      <c r="K122" s="8" t="s">
        <v>43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</row>
    <row r="123" spans="1:61" x14ac:dyDescent="0.35">
      <c r="A123" s="1"/>
      <c r="B123" s="7" t="s">
        <v>231</v>
      </c>
      <c r="C123" s="7" t="s">
        <v>232</v>
      </c>
      <c r="D123" s="17" t="s">
        <v>32</v>
      </c>
      <c r="E123" s="17">
        <v>48</v>
      </c>
      <c r="F123" s="12">
        <v>3.12</v>
      </c>
      <c r="G123" s="12">
        <v>3.06</v>
      </c>
      <c r="H123" s="12">
        <v>3</v>
      </c>
      <c r="I123" s="16"/>
      <c r="J123" s="12">
        <f t="shared" si="3"/>
        <v>0</v>
      </c>
      <c r="K123" s="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</row>
    <row r="124" spans="1:61" x14ac:dyDescent="0.35">
      <c r="A124" s="1"/>
      <c r="B124" s="7" t="s">
        <v>233</v>
      </c>
      <c r="C124" s="7" t="s">
        <v>234</v>
      </c>
      <c r="D124" s="17" t="s">
        <v>32</v>
      </c>
      <c r="E124" s="17">
        <v>25</v>
      </c>
      <c r="F124" s="12">
        <v>5.31</v>
      </c>
      <c r="G124" s="12">
        <v>5.21</v>
      </c>
      <c r="H124" s="12">
        <v>5.0999999999999996</v>
      </c>
      <c r="I124" s="16"/>
      <c r="J124" s="12">
        <f t="shared" si="3"/>
        <v>0</v>
      </c>
      <c r="K124" s="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</row>
    <row r="125" spans="1:61" x14ac:dyDescent="0.35">
      <c r="A125" s="1"/>
      <c r="B125" s="7" t="s">
        <v>235</v>
      </c>
      <c r="C125" s="7" t="s">
        <v>236</v>
      </c>
      <c r="D125" s="17" t="s">
        <v>32</v>
      </c>
      <c r="E125" s="17">
        <v>16</v>
      </c>
      <c r="F125" s="12">
        <v>8.27</v>
      </c>
      <c r="G125" s="12">
        <v>8.11</v>
      </c>
      <c r="H125" s="12">
        <v>7.95</v>
      </c>
      <c r="I125" s="16"/>
      <c r="J125" s="12">
        <f t="shared" si="3"/>
        <v>0</v>
      </c>
      <c r="K125" s="8" t="s">
        <v>43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</row>
    <row r="126" spans="1:61" x14ac:dyDescent="0.35">
      <c r="A126" s="1"/>
      <c r="B126" s="7" t="s">
        <v>237</v>
      </c>
      <c r="C126" s="7" t="s">
        <v>238</v>
      </c>
      <c r="D126" s="17" t="s">
        <v>32</v>
      </c>
      <c r="E126" s="17">
        <v>25</v>
      </c>
      <c r="F126" s="12">
        <v>10.82</v>
      </c>
      <c r="G126" s="12">
        <v>10.61</v>
      </c>
      <c r="H126" s="12">
        <v>10.4</v>
      </c>
      <c r="I126" s="16"/>
      <c r="J126" s="12">
        <f t="shared" si="3"/>
        <v>0</v>
      </c>
      <c r="K126" s="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</row>
    <row r="127" spans="1:61" x14ac:dyDescent="0.35">
      <c r="A127" s="1"/>
      <c r="B127" s="7" t="s">
        <v>239</v>
      </c>
      <c r="C127" s="7" t="s">
        <v>240</v>
      </c>
      <c r="D127" s="17">
        <v>2160</v>
      </c>
      <c r="E127" s="17">
        <v>20</v>
      </c>
      <c r="F127" s="12">
        <v>6.71</v>
      </c>
      <c r="G127" s="12">
        <v>6.58</v>
      </c>
      <c r="H127" s="12">
        <v>6.45</v>
      </c>
      <c r="I127" s="16"/>
      <c r="J127" s="12">
        <f t="shared" si="3"/>
        <v>0</v>
      </c>
      <c r="K127" s="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</row>
    <row r="128" spans="1:61" x14ac:dyDescent="0.35">
      <c r="A128" s="1"/>
      <c r="B128" s="7" t="s">
        <v>241</v>
      </c>
      <c r="C128" s="7" t="s">
        <v>242</v>
      </c>
      <c r="D128" s="17">
        <v>151</v>
      </c>
      <c r="E128" s="17">
        <v>12</v>
      </c>
      <c r="F128" s="12">
        <v>4.63</v>
      </c>
      <c r="G128" s="12">
        <v>4.54</v>
      </c>
      <c r="H128" s="12">
        <v>4.45</v>
      </c>
      <c r="I128" s="16"/>
      <c r="J128" s="12">
        <f t="shared" si="3"/>
        <v>0</v>
      </c>
      <c r="K128" s="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</row>
    <row r="129" spans="1:61" x14ac:dyDescent="0.35">
      <c r="A129" s="1"/>
      <c r="B129" s="7" t="s">
        <v>243</v>
      </c>
      <c r="C129" s="7" t="s">
        <v>244</v>
      </c>
      <c r="D129" s="17">
        <v>1294</v>
      </c>
      <c r="E129" s="17">
        <v>36</v>
      </c>
      <c r="F129" s="12">
        <v>2.6</v>
      </c>
      <c r="G129" s="12">
        <v>2.5499999999999998</v>
      </c>
      <c r="H129" s="12">
        <v>2.5</v>
      </c>
      <c r="I129" s="16"/>
      <c r="J129" s="12">
        <f t="shared" si="3"/>
        <v>0</v>
      </c>
      <c r="K129" s="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</row>
    <row r="130" spans="1:61" x14ac:dyDescent="0.35">
      <c r="A130" s="1"/>
      <c r="B130" s="7" t="s">
        <v>245</v>
      </c>
      <c r="C130" s="7" t="s">
        <v>246</v>
      </c>
      <c r="D130" s="17">
        <v>142</v>
      </c>
      <c r="E130" s="17">
        <v>23</v>
      </c>
      <c r="F130" s="12">
        <v>14.51</v>
      </c>
      <c r="G130" s="12">
        <v>14.23</v>
      </c>
      <c r="H130" s="12">
        <v>13.95</v>
      </c>
      <c r="I130" s="16"/>
      <c r="J130" s="12">
        <f t="shared" si="3"/>
        <v>0</v>
      </c>
      <c r="K130" s="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</row>
    <row r="131" spans="1:61" x14ac:dyDescent="0.35">
      <c r="A131" s="1"/>
      <c r="B131" s="7" t="s">
        <v>247</v>
      </c>
      <c r="C131" s="7" t="s">
        <v>248</v>
      </c>
      <c r="D131" s="17">
        <v>243</v>
      </c>
      <c r="E131" s="17">
        <v>12</v>
      </c>
      <c r="F131" s="12">
        <v>25.95</v>
      </c>
      <c r="G131" s="12">
        <v>25.45</v>
      </c>
      <c r="H131" s="12">
        <v>24.95</v>
      </c>
      <c r="I131" s="16"/>
      <c r="J131" s="12">
        <f t="shared" si="3"/>
        <v>0</v>
      </c>
      <c r="K131" s="8" t="s">
        <v>43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</row>
    <row r="132" spans="1:61" x14ac:dyDescent="0.35">
      <c r="A132" s="1"/>
      <c r="B132" s="7" t="s">
        <v>249</v>
      </c>
      <c r="C132" s="7" t="s">
        <v>250</v>
      </c>
      <c r="D132" s="17">
        <v>332</v>
      </c>
      <c r="E132" s="17">
        <v>32</v>
      </c>
      <c r="F132" s="12">
        <v>13.84</v>
      </c>
      <c r="G132" s="12">
        <v>13.57</v>
      </c>
      <c r="H132" s="12">
        <v>13.3</v>
      </c>
      <c r="I132" s="16"/>
      <c r="J132" s="12">
        <f t="shared" si="3"/>
        <v>0</v>
      </c>
      <c r="K132" s="8" t="s">
        <v>43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</row>
    <row r="133" spans="1:61" x14ac:dyDescent="0.35">
      <c r="A133" s="1"/>
      <c r="B133" s="7" t="s">
        <v>251</v>
      </c>
      <c r="C133" s="7" t="s">
        <v>252</v>
      </c>
      <c r="D133" s="17">
        <v>69</v>
      </c>
      <c r="E133" s="17">
        <v>33</v>
      </c>
      <c r="F133" s="12">
        <v>42.59</v>
      </c>
      <c r="G133" s="12">
        <v>41.77</v>
      </c>
      <c r="H133" s="12">
        <v>40.950000000000003</v>
      </c>
      <c r="I133" s="16"/>
      <c r="J133" s="12">
        <f t="shared" si="3"/>
        <v>0</v>
      </c>
      <c r="K133" s="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</row>
    <row r="134" spans="1:61" x14ac:dyDescent="0.35">
      <c r="A134" s="1"/>
      <c r="B134" s="7" t="s">
        <v>253</v>
      </c>
      <c r="C134" s="7" t="s">
        <v>254</v>
      </c>
      <c r="D134" s="17">
        <v>114</v>
      </c>
      <c r="E134" s="17">
        <v>30</v>
      </c>
      <c r="F134" s="12">
        <v>50.91</v>
      </c>
      <c r="G134" s="12">
        <v>49.93</v>
      </c>
      <c r="H134" s="12">
        <v>48.95</v>
      </c>
      <c r="I134" s="16"/>
      <c r="J134" s="12">
        <f t="shared" si="3"/>
        <v>0</v>
      </c>
      <c r="K134" s="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</row>
    <row r="135" spans="1:61" x14ac:dyDescent="0.35">
      <c r="A135" s="1"/>
      <c r="B135" s="7" t="s">
        <v>255</v>
      </c>
      <c r="C135" s="7" t="s">
        <v>256</v>
      </c>
      <c r="D135" s="17">
        <v>207</v>
      </c>
      <c r="E135" s="17">
        <v>36</v>
      </c>
      <c r="F135" s="12">
        <v>22.83</v>
      </c>
      <c r="G135" s="12">
        <v>22.39</v>
      </c>
      <c r="H135" s="12">
        <v>21.95</v>
      </c>
      <c r="I135" s="16"/>
      <c r="J135" s="12">
        <f t="shared" si="3"/>
        <v>0</v>
      </c>
      <c r="K135" s="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</row>
    <row r="136" spans="1:61" x14ac:dyDescent="0.35">
      <c r="A136" s="1"/>
      <c r="B136" s="1"/>
      <c r="C136" s="1"/>
      <c r="D136" s="1"/>
      <c r="E136" s="1"/>
      <c r="F136" s="9"/>
      <c r="G136" s="9"/>
      <c r="H136" s="9"/>
      <c r="I136" s="13"/>
      <c r="J136" s="9"/>
      <c r="K136" s="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</row>
    <row r="137" spans="1:61" ht="26" x14ac:dyDescent="0.6">
      <c r="A137" s="1"/>
      <c r="B137" s="5" t="s">
        <v>257</v>
      </c>
      <c r="C137" s="5"/>
      <c r="D137" s="5"/>
      <c r="E137" s="5"/>
      <c r="F137" s="10"/>
      <c r="G137" s="10"/>
      <c r="H137" s="10"/>
      <c r="I137" s="14"/>
      <c r="J137" s="10"/>
      <c r="K137" s="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</row>
    <row r="138" spans="1:61" ht="29" x14ac:dyDescent="0.35">
      <c r="A138" s="1"/>
      <c r="B138" s="6" t="s">
        <v>5</v>
      </c>
      <c r="C138" s="6" t="s">
        <v>6</v>
      </c>
      <c r="D138" s="6" t="s">
        <v>7</v>
      </c>
      <c r="E138" s="6" t="s">
        <v>8</v>
      </c>
      <c r="F138" s="11" t="s">
        <v>9</v>
      </c>
      <c r="G138" s="11" t="s">
        <v>10</v>
      </c>
      <c r="H138" s="11" t="s">
        <v>11</v>
      </c>
      <c r="I138" s="15" t="s">
        <v>12</v>
      </c>
      <c r="J138" s="11" t="s">
        <v>13</v>
      </c>
      <c r="K138" s="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</row>
    <row r="139" spans="1:61" x14ac:dyDescent="0.35">
      <c r="A139" s="1"/>
      <c r="B139" s="7" t="s">
        <v>258</v>
      </c>
      <c r="C139" s="7" t="s">
        <v>259</v>
      </c>
      <c r="D139" s="17">
        <v>33</v>
      </c>
      <c r="E139" s="17">
        <v>24</v>
      </c>
      <c r="F139" s="12">
        <v>6.19</v>
      </c>
      <c r="G139" s="12">
        <v>6.07</v>
      </c>
      <c r="H139" s="12">
        <v>5.95</v>
      </c>
      <c r="I139" s="16"/>
      <c r="J139" s="12">
        <f>I139*IF(I139&lt;100,F139,IF(I139&lt;240,G139,H139))</f>
        <v>0</v>
      </c>
      <c r="K139" s="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</row>
    <row r="140" spans="1:61" x14ac:dyDescent="0.35">
      <c r="A140" s="1"/>
      <c r="B140" s="7" t="s">
        <v>260</v>
      </c>
      <c r="C140" s="7" t="s">
        <v>261</v>
      </c>
      <c r="D140" s="17" t="s">
        <v>32</v>
      </c>
      <c r="E140" s="17">
        <v>84</v>
      </c>
      <c r="F140" s="12">
        <v>5.15</v>
      </c>
      <c r="G140" s="12">
        <v>5.05</v>
      </c>
      <c r="H140" s="12">
        <v>4.95</v>
      </c>
      <c r="I140" s="16"/>
      <c r="J140" s="12">
        <f>I140*IF(I140&lt;100,F140,IF(I140&lt;240,G140,H140))</f>
        <v>0</v>
      </c>
      <c r="K140" s="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</row>
    <row r="141" spans="1:61" x14ac:dyDescent="0.35">
      <c r="A141" s="1"/>
      <c r="B141" s="7" t="s">
        <v>262</v>
      </c>
      <c r="C141" s="7" t="s">
        <v>263</v>
      </c>
      <c r="D141" s="17" t="s">
        <v>32</v>
      </c>
      <c r="E141" s="17">
        <v>24</v>
      </c>
      <c r="F141" s="12">
        <v>11.39</v>
      </c>
      <c r="G141" s="12">
        <v>11.17</v>
      </c>
      <c r="H141" s="12">
        <v>10.95</v>
      </c>
      <c r="I141" s="16"/>
      <c r="J141" s="12">
        <f>I141*IF(I141&lt;100,F141,IF(I141&lt;240,G141,H141))</f>
        <v>0</v>
      </c>
      <c r="K141" s="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</row>
    <row r="142" spans="1:61" x14ac:dyDescent="0.35">
      <c r="A142" s="1"/>
      <c r="B142" s="7" t="s">
        <v>264</v>
      </c>
      <c r="C142" s="7" t="s">
        <v>265</v>
      </c>
      <c r="D142" s="17">
        <v>48</v>
      </c>
      <c r="E142" s="17">
        <v>17</v>
      </c>
      <c r="F142" s="12">
        <v>41.55</v>
      </c>
      <c r="G142" s="12">
        <v>40.75</v>
      </c>
      <c r="H142" s="12">
        <v>39.950000000000003</v>
      </c>
      <c r="I142" s="16"/>
      <c r="J142" s="12">
        <f>I142*IF(I142&lt;100,F142,IF(I142&lt;240,G142,H142))</f>
        <v>0</v>
      </c>
      <c r="K142" s="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</row>
    <row r="143" spans="1:61" x14ac:dyDescent="0.35">
      <c r="A143" s="1"/>
      <c r="B143" s="7" t="s">
        <v>266</v>
      </c>
      <c r="C143" s="7" t="s">
        <v>267</v>
      </c>
      <c r="D143" s="17">
        <v>99</v>
      </c>
      <c r="E143" s="17">
        <v>17</v>
      </c>
      <c r="F143" s="12">
        <v>41.55</v>
      </c>
      <c r="G143" s="12">
        <v>40.75</v>
      </c>
      <c r="H143" s="12">
        <v>39.950000000000003</v>
      </c>
      <c r="I143" s="16"/>
      <c r="J143" s="12">
        <f>I143*IF(I143&lt;100,F143,IF(I143&lt;240,G143,H143))</f>
        <v>0</v>
      </c>
      <c r="K143" s="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</row>
    <row r="144" spans="1:61" x14ac:dyDescent="0.35">
      <c r="A144" s="1"/>
      <c r="B144" s="1"/>
      <c r="C144" s="1"/>
      <c r="D144" s="1"/>
      <c r="E144" s="1"/>
      <c r="F144" s="9"/>
      <c r="G144" s="9"/>
      <c r="H144" s="9"/>
      <c r="I144" s="13"/>
      <c r="J144" s="9"/>
      <c r="K144" s="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</row>
    <row r="145" spans="1:61" ht="26" x14ac:dyDescent="0.6">
      <c r="A145" s="1"/>
      <c r="B145" s="5" t="s">
        <v>268</v>
      </c>
      <c r="C145" s="5"/>
      <c r="D145" s="5"/>
      <c r="E145" s="5"/>
      <c r="F145" s="10"/>
      <c r="G145" s="10"/>
      <c r="H145" s="10"/>
      <c r="I145" s="14"/>
      <c r="J145" s="10"/>
      <c r="K145" s="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</row>
    <row r="146" spans="1:61" ht="29" x14ac:dyDescent="0.35">
      <c r="A146" s="1"/>
      <c r="B146" s="6" t="s">
        <v>5</v>
      </c>
      <c r="C146" s="6" t="s">
        <v>6</v>
      </c>
      <c r="D146" s="6" t="s">
        <v>7</v>
      </c>
      <c r="E146" s="6" t="s">
        <v>8</v>
      </c>
      <c r="F146" s="11" t="s">
        <v>9</v>
      </c>
      <c r="G146" s="11" t="s">
        <v>10</v>
      </c>
      <c r="H146" s="11" t="s">
        <v>11</v>
      </c>
      <c r="I146" s="15" t="s">
        <v>12</v>
      </c>
      <c r="J146" s="11" t="s">
        <v>13</v>
      </c>
      <c r="K146" s="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</row>
    <row r="147" spans="1:61" x14ac:dyDescent="0.35">
      <c r="A147" s="1"/>
      <c r="B147" s="7" t="s">
        <v>269</v>
      </c>
      <c r="C147" s="7" t="s">
        <v>270</v>
      </c>
      <c r="D147" s="17">
        <v>1</v>
      </c>
      <c r="E147" s="17">
        <v>1</v>
      </c>
      <c r="F147" s="12">
        <v>33.799999999999997</v>
      </c>
      <c r="G147" s="12">
        <v>33.15</v>
      </c>
      <c r="H147" s="12">
        <v>32.5</v>
      </c>
      <c r="I147" s="16"/>
      <c r="J147" s="12">
        <f t="shared" ref="J147:J157" si="4">I147*IF(I147&lt;100,F147,IF(I147&lt;240,G147,H147))</f>
        <v>0</v>
      </c>
      <c r="K147" s="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</row>
    <row r="148" spans="1:61" x14ac:dyDescent="0.35">
      <c r="A148" s="1"/>
      <c r="B148" s="7" t="s">
        <v>271</v>
      </c>
      <c r="C148" s="7" t="s">
        <v>270</v>
      </c>
      <c r="D148" s="17">
        <v>539</v>
      </c>
      <c r="E148" s="17">
        <v>3</v>
      </c>
      <c r="F148" s="12">
        <v>33.799999999999997</v>
      </c>
      <c r="G148" s="12">
        <v>33.15</v>
      </c>
      <c r="H148" s="12">
        <v>32.5</v>
      </c>
      <c r="I148" s="16"/>
      <c r="J148" s="12">
        <f t="shared" si="4"/>
        <v>0</v>
      </c>
      <c r="K148" s="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</row>
    <row r="149" spans="1:61" x14ac:dyDescent="0.35">
      <c r="A149" s="1"/>
      <c r="B149" s="7" t="s">
        <v>272</v>
      </c>
      <c r="C149" s="7" t="s">
        <v>273</v>
      </c>
      <c r="D149" s="17">
        <v>27</v>
      </c>
      <c r="E149" s="17">
        <v>3</v>
      </c>
      <c r="F149" s="12">
        <v>36.35</v>
      </c>
      <c r="G149" s="12">
        <v>35.65</v>
      </c>
      <c r="H149" s="12">
        <v>34.950000000000003</v>
      </c>
      <c r="I149" s="16"/>
      <c r="J149" s="12">
        <f t="shared" si="4"/>
        <v>0</v>
      </c>
      <c r="K149" s="8" t="s">
        <v>43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</row>
    <row r="150" spans="1:61" x14ac:dyDescent="0.35">
      <c r="A150" s="1"/>
      <c r="B150" s="7" t="s">
        <v>274</v>
      </c>
      <c r="C150" s="7" t="s">
        <v>275</v>
      </c>
      <c r="D150" s="17">
        <v>1774</v>
      </c>
      <c r="E150" s="17">
        <v>6</v>
      </c>
      <c r="F150" s="12">
        <v>20.28</v>
      </c>
      <c r="G150" s="12">
        <v>19.89</v>
      </c>
      <c r="H150" s="12">
        <v>19.5</v>
      </c>
      <c r="I150" s="16"/>
      <c r="J150" s="12">
        <f t="shared" si="4"/>
        <v>0</v>
      </c>
      <c r="K150" s="8" t="s">
        <v>43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</row>
    <row r="151" spans="1:61" x14ac:dyDescent="0.35">
      <c r="A151" s="1"/>
      <c r="B151" s="7" t="s">
        <v>276</v>
      </c>
      <c r="C151" s="7" t="s">
        <v>277</v>
      </c>
      <c r="D151" s="17">
        <v>3</v>
      </c>
      <c r="E151" s="17">
        <v>3</v>
      </c>
      <c r="F151" s="12">
        <v>27.46</v>
      </c>
      <c r="G151" s="12">
        <v>26.93</v>
      </c>
      <c r="H151" s="12">
        <v>26.4</v>
      </c>
      <c r="I151" s="16"/>
      <c r="J151" s="12">
        <f t="shared" si="4"/>
        <v>0</v>
      </c>
      <c r="K151" s="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</row>
    <row r="152" spans="1:61" x14ac:dyDescent="0.35">
      <c r="A152" s="1"/>
      <c r="B152" s="7" t="s">
        <v>278</v>
      </c>
      <c r="C152" s="7" t="s">
        <v>279</v>
      </c>
      <c r="D152" s="17">
        <v>1212</v>
      </c>
      <c r="E152" s="17">
        <v>6</v>
      </c>
      <c r="F152" s="12">
        <v>22.62</v>
      </c>
      <c r="G152" s="12">
        <v>22.19</v>
      </c>
      <c r="H152" s="12">
        <v>21.75</v>
      </c>
      <c r="I152" s="16"/>
      <c r="J152" s="12">
        <f t="shared" si="4"/>
        <v>0</v>
      </c>
      <c r="K152" s="8" t="s">
        <v>43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</row>
    <row r="153" spans="1:61" x14ac:dyDescent="0.35">
      <c r="A153" s="1"/>
      <c r="B153" s="7" t="s">
        <v>280</v>
      </c>
      <c r="C153" s="7" t="s">
        <v>281</v>
      </c>
      <c r="D153" s="17">
        <v>1775</v>
      </c>
      <c r="E153" s="17">
        <v>6</v>
      </c>
      <c r="F153" s="12">
        <v>19.760000000000002</v>
      </c>
      <c r="G153" s="12">
        <v>19.38</v>
      </c>
      <c r="H153" s="12">
        <v>19</v>
      </c>
      <c r="I153" s="16"/>
      <c r="J153" s="12">
        <f t="shared" si="4"/>
        <v>0</v>
      </c>
      <c r="K153" s="8" t="s">
        <v>43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</row>
    <row r="154" spans="1:61" x14ac:dyDescent="0.35">
      <c r="A154" s="1"/>
      <c r="B154" s="7" t="s">
        <v>282</v>
      </c>
      <c r="C154" s="7" t="s">
        <v>283</v>
      </c>
      <c r="D154" s="17">
        <v>768</v>
      </c>
      <c r="E154" s="17">
        <v>6</v>
      </c>
      <c r="F154" s="12">
        <v>9.8800000000000008</v>
      </c>
      <c r="G154" s="12">
        <v>9.69</v>
      </c>
      <c r="H154" s="12">
        <v>9.5</v>
      </c>
      <c r="I154" s="16"/>
      <c r="J154" s="12">
        <f t="shared" si="4"/>
        <v>0</v>
      </c>
      <c r="K154" s="8" t="s">
        <v>43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</row>
    <row r="155" spans="1:61" x14ac:dyDescent="0.35">
      <c r="A155" s="1"/>
      <c r="B155" s="7" t="s">
        <v>284</v>
      </c>
      <c r="C155" s="7" t="s">
        <v>285</v>
      </c>
      <c r="D155" s="17">
        <v>529</v>
      </c>
      <c r="E155" s="17">
        <v>6</v>
      </c>
      <c r="F155" s="12">
        <v>10.92</v>
      </c>
      <c r="G155" s="12">
        <v>10.71</v>
      </c>
      <c r="H155" s="12">
        <v>10.5</v>
      </c>
      <c r="I155" s="16"/>
      <c r="J155" s="12">
        <f t="shared" si="4"/>
        <v>0</v>
      </c>
      <c r="K155" s="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</row>
    <row r="156" spans="1:61" x14ac:dyDescent="0.35">
      <c r="A156" s="1"/>
      <c r="B156" s="7" t="s">
        <v>286</v>
      </c>
      <c r="C156" s="7" t="s">
        <v>287</v>
      </c>
      <c r="D156" s="17" t="s">
        <v>32</v>
      </c>
      <c r="E156" s="17">
        <v>6</v>
      </c>
      <c r="F156" s="12">
        <v>7.23</v>
      </c>
      <c r="G156" s="12">
        <v>7.09</v>
      </c>
      <c r="H156" s="12">
        <v>6.95</v>
      </c>
      <c r="I156" s="16"/>
      <c r="J156" s="12">
        <f t="shared" si="4"/>
        <v>0</v>
      </c>
      <c r="K156" s="8" t="s">
        <v>43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</row>
    <row r="157" spans="1:61" x14ac:dyDescent="0.35">
      <c r="A157" s="1"/>
      <c r="B157" s="7" t="s">
        <v>288</v>
      </c>
      <c r="C157" s="7" t="s">
        <v>289</v>
      </c>
      <c r="D157" s="17">
        <v>96</v>
      </c>
      <c r="E157" s="17">
        <v>3</v>
      </c>
      <c r="F157" s="12">
        <v>45.71</v>
      </c>
      <c r="G157" s="12">
        <v>44.83</v>
      </c>
      <c r="H157" s="12">
        <v>43.95</v>
      </c>
      <c r="I157" s="16"/>
      <c r="J157" s="12">
        <f t="shared" si="4"/>
        <v>0</v>
      </c>
      <c r="K157" s="8" t="s">
        <v>43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</row>
    <row r="158" spans="1:61" x14ac:dyDescent="0.35">
      <c r="A158" s="1"/>
      <c r="B158" s="1"/>
      <c r="C158" s="1"/>
      <c r="D158" s="1"/>
      <c r="E158" s="1"/>
      <c r="F158" s="9"/>
      <c r="G158" s="9"/>
      <c r="H158" s="9"/>
      <c r="I158" s="13"/>
      <c r="J158" s="9"/>
      <c r="K158" s="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</row>
    <row r="159" spans="1:61" ht="26" x14ac:dyDescent="0.6">
      <c r="A159" s="1"/>
      <c r="B159" s="5" t="s">
        <v>290</v>
      </c>
      <c r="C159" s="5"/>
      <c r="D159" s="5"/>
      <c r="E159" s="5"/>
      <c r="F159" s="10"/>
      <c r="G159" s="10"/>
      <c r="H159" s="10"/>
      <c r="I159" s="14"/>
      <c r="J159" s="10"/>
      <c r="K159" s="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</row>
    <row r="160" spans="1:61" ht="29" x14ac:dyDescent="0.35">
      <c r="A160" s="1"/>
      <c r="B160" s="6" t="s">
        <v>5</v>
      </c>
      <c r="C160" s="6" t="s">
        <v>6</v>
      </c>
      <c r="D160" s="6" t="s">
        <v>7</v>
      </c>
      <c r="E160" s="6" t="s">
        <v>8</v>
      </c>
      <c r="F160" s="11" t="s">
        <v>9</v>
      </c>
      <c r="G160" s="11" t="s">
        <v>10</v>
      </c>
      <c r="H160" s="11" t="s">
        <v>11</v>
      </c>
      <c r="I160" s="15" t="s">
        <v>12</v>
      </c>
      <c r="J160" s="11" t="s">
        <v>13</v>
      </c>
      <c r="K160" s="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</row>
    <row r="161" spans="1:61" x14ac:dyDescent="0.35">
      <c r="A161" s="1"/>
      <c r="B161" s="7" t="s">
        <v>291</v>
      </c>
      <c r="C161" s="7" t="s">
        <v>292</v>
      </c>
      <c r="D161" s="17">
        <v>390</v>
      </c>
      <c r="E161" s="17">
        <v>72</v>
      </c>
      <c r="F161" s="12">
        <v>21.79</v>
      </c>
      <c r="G161" s="12">
        <v>21.37</v>
      </c>
      <c r="H161" s="12">
        <v>20.95</v>
      </c>
      <c r="I161" s="16"/>
      <c r="J161" s="12">
        <f t="shared" ref="J161:J192" si="5">I161*IF(I161&lt;100,F161,IF(I161&lt;240,G161,H161))</f>
        <v>0</v>
      </c>
      <c r="K161" s="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</row>
    <row r="162" spans="1:61" x14ac:dyDescent="0.35">
      <c r="A162" s="1"/>
      <c r="B162" s="7" t="s">
        <v>293</v>
      </c>
      <c r="C162" s="7" t="s">
        <v>294</v>
      </c>
      <c r="D162" s="17">
        <v>271</v>
      </c>
      <c r="E162" s="17">
        <v>24</v>
      </c>
      <c r="F162" s="12">
        <v>30.11</v>
      </c>
      <c r="G162" s="12">
        <v>29.53</v>
      </c>
      <c r="H162" s="12">
        <v>28.95</v>
      </c>
      <c r="I162" s="16"/>
      <c r="J162" s="12">
        <f t="shared" si="5"/>
        <v>0</v>
      </c>
      <c r="K162" s="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</row>
    <row r="163" spans="1:61" x14ac:dyDescent="0.35">
      <c r="A163" s="1"/>
      <c r="B163" s="7" t="s">
        <v>295</v>
      </c>
      <c r="C163" s="7" t="s">
        <v>296</v>
      </c>
      <c r="D163" s="17">
        <v>777</v>
      </c>
      <c r="E163" s="17">
        <v>24</v>
      </c>
      <c r="F163" s="12">
        <v>28.03</v>
      </c>
      <c r="G163" s="12">
        <v>27.49</v>
      </c>
      <c r="H163" s="12">
        <v>26.95</v>
      </c>
      <c r="I163" s="16"/>
      <c r="J163" s="12">
        <f t="shared" si="5"/>
        <v>0</v>
      </c>
      <c r="K163" s="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</row>
    <row r="164" spans="1:61" x14ac:dyDescent="0.35">
      <c r="A164" s="1"/>
      <c r="B164" s="7" t="s">
        <v>297</v>
      </c>
      <c r="C164" s="7" t="s">
        <v>298</v>
      </c>
      <c r="D164" s="17">
        <v>194</v>
      </c>
      <c r="E164" s="17">
        <v>12</v>
      </c>
      <c r="F164" s="12">
        <v>6.87</v>
      </c>
      <c r="G164" s="12">
        <v>6.74</v>
      </c>
      <c r="H164" s="12">
        <v>6.6</v>
      </c>
      <c r="I164" s="16"/>
      <c r="J164" s="12">
        <f t="shared" si="5"/>
        <v>0</v>
      </c>
      <c r="K164" s="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</row>
    <row r="165" spans="1:61" x14ac:dyDescent="0.35">
      <c r="A165" s="1"/>
      <c r="B165" s="7" t="s">
        <v>299</v>
      </c>
      <c r="C165" s="7" t="s">
        <v>300</v>
      </c>
      <c r="D165" s="17">
        <v>30</v>
      </c>
      <c r="E165" s="17">
        <v>72</v>
      </c>
      <c r="F165" s="12">
        <v>8.27</v>
      </c>
      <c r="G165" s="12">
        <v>8.11</v>
      </c>
      <c r="H165" s="12">
        <v>7.95</v>
      </c>
      <c r="I165" s="16"/>
      <c r="J165" s="12">
        <f t="shared" si="5"/>
        <v>0</v>
      </c>
      <c r="K165" s="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</row>
    <row r="166" spans="1:61" x14ac:dyDescent="0.35">
      <c r="A166" s="1"/>
      <c r="B166" s="7" t="s">
        <v>301</v>
      </c>
      <c r="C166" s="7" t="s">
        <v>302</v>
      </c>
      <c r="D166" s="17">
        <v>72</v>
      </c>
      <c r="E166" s="17">
        <v>12</v>
      </c>
      <c r="F166" s="12">
        <v>38.43</v>
      </c>
      <c r="G166" s="12">
        <v>37.69</v>
      </c>
      <c r="H166" s="12">
        <v>36.950000000000003</v>
      </c>
      <c r="I166" s="16"/>
      <c r="J166" s="12">
        <f t="shared" si="5"/>
        <v>0</v>
      </c>
      <c r="K166" s="8" t="s">
        <v>43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</row>
    <row r="167" spans="1:61" x14ac:dyDescent="0.35">
      <c r="A167" s="1"/>
      <c r="B167" s="7" t="s">
        <v>303</v>
      </c>
      <c r="C167" s="7" t="s">
        <v>304</v>
      </c>
      <c r="D167" s="17">
        <v>192</v>
      </c>
      <c r="E167" s="17">
        <v>12</v>
      </c>
      <c r="F167" s="12">
        <v>43.63</v>
      </c>
      <c r="G167" s="12">
        <v>42.79</v>
      </c>
      <c r="H167" s="12">
        <v>41.95</v>
      </c>
      <c r="I167" s="16"/>
      <c r="J167" s="12">
        <f t="shared" si="5"/>
        <v>0</v>
      </c>
      <c r="K167" s="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</row>
    <row r="168" spans="1:61" x14ac:dyDescent="0.35">
      <c r="A168" s="1"/>
      <c r="B168" s="7" t="s">
        <v>305</v>
      </c>
      <c r="C168" s="7" t="s">
        <v>306</v>
      </c>
      <c r="D168" s="17">
        <v>210</v>
      </c>
      <c r="E168" s="17">
        <v>36</v>
      </c>
      <c r="F168" s="12">
        <v>40.51</v>
      </c>
      <c r="G168" s="12">
        <v>39.729999999999997</v>
      </c>
      <c r="H168" s="12">
        <v>38.950000000000003</v>
      </c>
      <c r="I168" s="16"/>
      <c r="J168" s="12">
        <f t="shared" si="5"/>
        <v>0</v>
      </c>
      <c r="K168" s="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</row>
    <row r="169" spans="1:61" x14ac:dyDescent="0.35">
      <c r="A169" s="1"/>
      <c r="B169" s="7" t="s">
        <v>307</v>
      </c>
      <c r="C169" s="7" t="s">
        <v>308</v>
      </c>
      <c r="D169" s="17">
        <v>48</v>
      </c>
      <c r="E169" s="17">
        <v>72</v>
      </c>
      <c r="F169" s="12">
        <v>8.27</v>
      </c>
      <c r="G169" s="12">
        <v>8.11</v>
      </c>
      <c r="H169" s="12">
        <v>7.95</v>
      </c>
      <c r="I169" s="16"/>
      <c r="J169" s="12">
        <f t="shared" si="5"/>
        <v>0</v>
      </c>
      <c r="K169" s="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</row>
    <row r="170" spans="1:61" x14ac:dyDescent="0.35">
      <c r="A170" s="1"/>
      <c r="B170" s="7" t="s">
        <v>309</v>
      </c>
      <c r="C170" s="7" t="s">
        <v>310</v>
      </c>
      <c r="D170" s="17">
        <v>47</v>
      </c>
      <c r="E170" s="17">
        <v>36</v>
      </c>
      <c r="F170" s="12">
        <v>18.670000000000002</v>
      </c>
      <c r="G170" s="12">
        <v>18.309999999999999</v>
      </c>
      <c r="H170" s="12">
        <v>17.95</v>
      </c>
      <c r="I170" s="16"/>
      <c r="J170" s="12">
        <f t="shared" si="5"/>
        <v>0</v>
      </c>
      <c r="K170" s="8" t="s">
        <v>43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</row>
    <row r="171" spans="1:61" x14ac:dyDescent="0.35">
      <c r="A171" s="1"/>
      <c r="B171" s="7" t="s">
        <v>311</v>
      </c>
      <c r="C171" s="7" t="s">
        <v>312</v>
      </c>
      <c r="D171" s="17">
        <v>120</v>
      </c>
      <c r="E171" s="17">
        <v>20</v>
      </c>
      <c r="F171" s="12">
        <v>3.75</v>
      </c>
      <c r="G171" s="12">
        <v>3.68</v>
      </c>
      <c r="H171" s="12">
        <v>3.6</v>
      </c>
      <c r="I171" s="16"/>
      <c r="J171" s="12">
        <f t="shared" si="5"/>
        <v>0</v>
      </c>
      <c r="K171" s="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</row>
    <row r="172" spans="1:61" x14ac:dyDescent="0.35">
      <c r="A172" s="1"/>
      <c r="B172" s="7" t="s">
        <v>313</v>
      </c>
      <c r="C172" s="7" t="s">
        <v>314</v>
      </c>
      <c r="D172" s="17">
        <v>288</v>
      </c>
      <c r="E172" s="17">
        <v>24</v>
      </c>
      <c r="F172" s="12">
        <v>12.43</v>
      </c>
      <c r="G172" s="12">
        <v>12.19</v>
      </c>
      <c r="H172" s="12">
        <v>11.95</v>
      </c>
      <c r="I172" s="16"/>
      <c r="J172" s="12">
        <f t="shared" si="5"/>
        <v>0</v>
      </c>
      <c r="K172" s="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</row>
    <row r="173" spans="1:61" x14ac:dyDescent="0.35">
      <c r="A173" s="1"/>
      <c r="B173" s="7" t="s">
        <v>315</v>
      </c>
      <c r="C173" s="7" t="s">
        <v>316</v>
      </c>
      <c r="D173" s="17">
        <v>378</v>
      </c>
      <c r="E173" s="17">
        <v>42</v>
      </c>
      <c r="F173" s="12">
        <v>6.76</v>
      </c>
      <c r="G173" s="12">
        <v>6.63</v>
      </c>
      <c r="H173" s="12">
        <v>6.5</v>
      </c>
      <c r="I173" s="16"/>
      <c r="J173" s="12">
        <f t="shared" si="5"/>
        <v>0</v>
      </c>
      <c r="K173" s="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</row>
    <row r="174" spans="1:61" x14ac:dyDescent="0.35">
      <c r="A174" s="1"/>
      <c r="B174" s="7" t="s">
        <v>317</v>
      </c>
      <c r="C174" s="7" t="s">
        <v>318</v>
      </c>
      <c r="D174" s="17">
        <v>168</v>
      </c>
      <c r="E174" s="17">
        <v>24</v>
      </c>
      <c r="F174" s="12">
        <v>9.6199999999999992</v>
      </c>
      <c r="G174" s="12">
        <v>9.44</v>
      </c>
      <c r="H174" s="12">
        <v>9.25</v>
      </c>
      <c r="I174" s="16"/>
      <c r="J174" s="12">
        <f t="shared" si="5"/>
        <v>0</v>
      </c>
      <c r="K174" s="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</row>
    <row r="175" spans="1:61" x14ac:dyDescent="0.35">
      <c r="A175" s="1"/>
      <c r="B175" s="7" t="s">
        <v>319</v>
      </c>
      <c r="C175" s="7" t="s">
        <v>320</v>
      </c>
      <c r="D175" s="17">
        <v>246</v>
      </c>
      <c r="E175" s="17">
        <v>24</v>
      </c>
      <c r="F175" s="12">
        <v>12.43</v>
      </c>
      <c r="G175" s="12">
        <v>12.19</v>
      </c>
      <c r="H175" s="12">
        <v>11.95</v>
      </c>
      <c r="I175" s="16"/>
      <c r="J175" s="12">
        <f t="shared" si="5"/>
        <v>0</v>
      </c>
      <c r="K175" s="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</row>
    <row r="176" spans="1:61" x14ac:dyDescent="0.35">
      <c r="A176" s="1"/>
      <c r="B176" s="7" t="s">
        <v>321</v>
      </c>
      <c r="C176" s="7" t="s">
        <v>322</v>
      </c>
      <c r="D176" s="17">
        <v>444</v>
      </c>
      <c r="E176" s="17">
        <v>12</v>
      </c>
      <c r="F176" s="12">
        <v>7.8</v>
      </c>
      <c r="G176" s="12">
        <v>7.65</v>
      </c>
      <c r="H176" s="12">
        <v>7.5</v>
      </c>
      <c r="I176" s="16"/>
      <c r="J176" s="12">
        <f t="shared" si="5"/>
        <v>0</v>
      </c>
      <c r="K176" s="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</row>
    <row r="177" spans="1:61" x14ac:dyDescent="0.35">
      <c r="A177" s="1"/>
      <c r="B177" s="7" t="s">
        <v>323</v>
      </c>
      <c r="C177" s="7" t="s">
        <v>324</v>
      </c>
      <c r="D177" s="17">
        <v>420</v>
      </c>
      <c r="E177" s="17">
        <v>12</v>
      </c>
      <c r="F177" s="12">
        <v>6.19</v>
      </c>
      <c r="G177" s="12">
        <v>6.07</v>
      </c>
      <c r="H177" s="12">
        <v>5.95</v>
      </c>
      <c r="I177" s="16"/>
      <c r="J177" s="12">
        <f t="shared" si="5"/>
        <v>0</v>
      </c>
      <c r="K177" s="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</row>
    <row r="178" spans="1:61" x14ac:dyDescent="0.35">
      <c r="A178" s="1"/>
      <c r="B178" s="7" t="s">
        <v>325</v>
      </c>
      <c r="C178" s="7" t="s">
        <v>326</v>
      </c>
      <c r="D178" s="17">
        <v>192</v>
      </c>
      <c r="E178" s="17">
        <v>24</v>
      </c>
      <c r="F178" s="12">
        <v>7.39</v>
      </c>
      <c r="G178" s="12">
        <v>7.25</v>
      </c>
      <c r="H178" s="12">
        <v>7.1</v>
      </c>
      <c r="I178" s="16"/>
      <c r="J178" s="12">
        <f t="shared" si="5"/>
        <v>0</v>
      </c>
      <c r="K178" s="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</row>
    <row r="179" spans="1:61" x14ac:dyDescent="0.35">
      <c r="A179" s="1"/>
      <c r="B179" s="7" t="s">
        <v>327</v>
      </c>
      <c r="C179" s="7" t="s">
        <v>328</v>
      </c>
      <c r="D179" s="17">
        <v>2184</v>
      </c>
      <c r="E179" s="17">
        <v>36</v>
      </c>
      <c r="F179" s="12">
        <v>14.51</v>
      </c>
      <c r="G179" s="12">
        <v>14.23</v>
      </c>
      <c r="H179" s="12">
        <v>13.95</v>
      </c>
      <c r="I179" s="16"/>
      <c r="J179" s="12">
        <f t="shared" si="5"/>
        <v>0</v>
      </c>
      <c r="K179" s="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</row>
    <row r="180" spans="1:61" x14ac:dyDescent="0.35">
      <c r="A180" s="1"/>
      <c r="B180" s="7" t="s">
        <v>329</v>
      </c>
      <c r="C180" s="7" t="s">
        <v>330</v>
      </c>
      <c r="D180" s="17">
        <v>657</v>
      </c>
      <c r="E180" s="17">
        <v>36</v>
      </c>
      <c r="F180" s="12">
        <v>12.22</v>
      </c>
      <c r="G180" s="12">
        <v>11.99</v>
      </c>
      <c r="H180" s="12">
        <v>11.75</v>
      </c>
      <c r="I180" s="16"/>
      <c r="J180" s="12">
        <f t="shared" si="5"/>
        <v>0</v>
      </c>
      <c r="K180" s="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</row>
    <row r="181" spans="1:61" x14ac:dyDescent="0.35">
      <c r="A181" s="1"/>
      <c r="B181" s="7" t="s">
        <v>331</v>
      </c>
      <c r="C181" s="7" t="s">
        <v>332</v>
      </c>
      <c r="D181" s="17">
        <v>576</v>
      </c>
      <c r="E181" s="17">
        <v>36</v>
      </c>
      <c r="F181" s="12">
        <v>12.43</v>
      </c>
      <c r="G181" s="12">
        <v>12.19</v>
      </c>
      <c r="H181" s="12">
        <v>11.95</v>
      </c>
      <c r="I181" s="16"/>
      <c r="J181" s="12">
        <f t="shared" si="5"/>
        <v>0</v>
      </c>
      <c r="K181" s="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</row>
    <row r="182" spans="1:61" x14ac:dyDescent="0.35">
      <c r="A182" s="1"/>
      <c r="B182" s="7" t="s">
        <v>333</v>
      </c>
      <c r="C182" s="7" t="s">
        <v>334</v>
      </c>
      <c r="D182" s="17">
        <v>36</v>
      </c>
      <c r="E182" s="17">
        <v>36</v>
      </c>
      <c r="F182" s="12">
        <v>10.35</v>
      </c>
      <c r="G182" s="12">
        <v>10.15</v>
      </c>
      <c r="H182" s="12">
        <v>9.9499999999999993</v>
      </c>
      <c r="I182" s="16"/>
      <c r="J182" s="12">
        <f t="shared" si="5"/>
        <v>0</v>
      </c>
      <c r="K182" s="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</row>
    <row r="183" spans="1:61" x14ac:dyDescent="0.35">
      <c r="A183" s="1"/>
      <c r="B183" s="7" t="s">
        <v>335</v>
      </c>
      <c r="C183" s="7" t="s">
        <v>336</v>
      </c>
      <c r="D183" s="17">
        <v>1332</v>
      </c>
      <c r="E183" s="17">
        <v>36</v>
      </c>
      <c r="F183" s="12">
        <v>8.06</v>
      </c>
      <c r="G183" s="12">
        <v>7.91</v>
      </c>
      <c r="H183" s="12">
        <v>7.75</v>
      </c>
      <c r="I183" s="16"/>
      <c r="J183" s="12">
        <f t="shared" si="5"/>
        <v>0</v>
      </c>
      <c r="K183" s="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</row>
    <row r="184" spans="1:61" x14ac:dyDescent="0.35">
      <c r="A184" s="1"/>
      <c r="B184" s="7" t="s">
        <v>337</v>
      </c>
      <c r="C184" s="7" t="s">
        <v>338</v>
      </c>
      <c r="D184" s="17" t="s">
        <v>32</v>
      </c>
      <c r="E184" s="17">
        <v>36</v>
      </c>
      <c r="F184" s="12">
        <v>12.22</v>
      </c>
      <c r="G184" s="12">
        <v>11.99</v>
      </c>
      <c r="H184" s="12">
        <v>11.75</v>
      </c>
      <c r="I184" s="16"/>
      <c r="J184" s="12">
        <f t="shared" si="5"/>
        <v>0</v>
      </c>
      <c r="K184" s="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</row>
    <row r="185" spans="1:61" x14ac:dyDescent="0.35">
      <c r="A185" s="1"/>
      <c r="B185" s="7" t="s">
        <v>339</v>
      </c>
      <c r="C185" s="7" t="s">
        <v>340</v>
      </c>
      <c r="D185" s="17">
        <v>1440</v>
      </c>
      <c r="E185" s="17">
        <v>36</v>
      </c>
      <c r="F185" s="12">
        <v>9.1</v>
      </c>
      <c r="G185" s="12">
        <v>8.93</v>
      </c>
      <c r="H185" s="12">
        <v>8.75</v>
      </c>
      <c r="I185" s="16"/>
      <c r="J185" s="12">
        <f t="shared" si="5"/>
        <v>0</v>
      </c>
      <c r="K185" s="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</row>
    <row r="186" spans="1:61" x14ac:dyDescent="0.35">
      <c r="A186" s="1"/>
      <c r="B186" s="7" t="s">
        <v>341</v>
      </c>
      <c r="C186" s="7" t="s">
        <v>342</v>
      </c>
      <c r="D186" s="17">
        <v>432</v>
      </c>
      <c r="E186" s="17">
        <v>36</v>
      </c>
      <c r="F186" s="12">
        <v>9.1</v>
      </c>
      <c r="G186" s="12">
        <v>8.93</v>
      </c>
      <c r="H186" s="12">
        <v>8.75</v>
      </c>
      <c r="I186" s="16"/>
      <c r="J186" s="12">
        <f t="shared" si="5"/>
        <v>0</v>
      </c>
      <c r="K186" s="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</row>
    <row r="187" spans="1:61" x14ac:dyDescent="0.35">
      <c r="A187" s="1"/>
      <c r="B187" s="7" t="s">
        <v>343</v>
      </c>
      <c r="C187" s="7" t="s">
        <v>344</v>
      </c>
      <c r="D187" s="17">
        <v>300</v>
      </c>
      <c r="E187" s="17">
        <v>60</v>
      </c>
      <c r="F187" s="12">
        <v>16.899999999999999</v>
      </c>
      <c r="G187" s="12">
        <v>16.579999999999998</v>
      </c>
      <c r="H187" s="12">
        <v>16.25</v>
      </c>
      <c r="I187" s="16"/>
      <c r="J187" s="12">
        <f t="shared" si="5"/>
        <v>0</v>
      </c>
      <c r="K187" s="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</row>
    <row r="188" spans="1:61" x14ac:dyDescent="0.35">
      <c r="A188" s="1"/>
      <c r="B188" s="7" t="s">
        <v>345</v>
      </c>
      <c r="C188" s="7" t="s">
        <v>346</v>
      </c>
      <c r="D188" s="17">
        <v>624</v>
      </c>
      <c r="E188" s="17">
        <v>24</v>
      </c>
      <c r="F188" s="12">
        <v>15.55</v>
      </c>
      <c r="G188" s="12">
        <v>15.25</v>
      </c>
      <c r="H188" s="12">
        <v>14.95</v>
      </c>
      <c r="I188" s="16"/>
      <c r="J188" s="12">
        <f t="shared" si="5"/>
        <v>0</v>
      </c>
      <c r="K188" s="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</row>
    <row r="189" spans="1:61" x14ac:dyDescent="0.35">
      <c r="A189" s="1"/>
      <c r="B189" s="7" t="s">
        <v>347</v>
      </c>
      <c r="C189" s="7" t="s">
        <v>348</v>
      </c>
      <c r="D189" s="17">
        <v>192</v>
      </c>
      <c r="E189" s="17">
        <v>48</v>
      </c>
      <c r="F189" s="12">
        <v>15.86</v>
      </c>
      <c r="G189" s="12">
        <v>15.56</v>
      </c>
      <c r="H189" s="12">
        <v>15.25</v>
      </c>
      <c r="I189" s="16"/>
      <c r="J189" s="12">
        <f t="shared" si="5"/>
        <v>0</v>
      </c>
      <c r="K189" s="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</row>
    <row r="190" spans="1:61" x14ac:dyDescent="0.35">
      <c r="A190" s="1"/>
      <c r="B190" s="7" t="s">
        <v>349</v>
      </c>
      <c r="C190" s="7" t="s">
        <v>350</v>
      </c>
      <c r="D190" s="17">
        <v>180</v>
      </c>
      <c r="E190" s="17">
        <v>60</v>
      </c>
      <c r="F190" s="12">
        <v>19.71</v>
      </c>
      <c r="G190" s="12">
        <v>19.329999999999998</v>
      </c>
      <c r="H190" s="12">
        <v>18.95</v>
      </c>
      <c r="I190" s="16"/>
      <c r="J190" s="12">
        <f t="shared" si="5"/>
        <v>0</v>
      </c>
      <c r="K190" s="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</row>
    <row r="191" spans="1:61" x14ac:dyDescent="0.35">
      <c r="A191" s="1"/>
      <c r="B191" s="7" t="s">
        <v>351</v>
      </c>
      <c r="C191" s="7" t="s">
        <v>352</v>
      </c>
      <c r="D191" s="17">
        <v>408</v>
      </c>
      <c r="E191" s="17">
        <v>24</v>
      </c>
      <c r="F191" s="12">
        <v>25.95</v>
      </c>
      <c r="G191" s="12">
        <v>25.45</v>
      </c>
      <c r="H191" s="12">
        <v>24.95</v>
      </c>
      <c r="I191" s="16"/>
      <c r="J191" s="12">
        <f t="shared" si="5"/>
        <v>0</v>
      </c>
      <c r="K191" s="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</row>
    <row r="192" spans="1:61" x14ac:dyDescent="0.35">
      <c r="A192" s="1"/>
      <c r="B192" s="7" t="s">
        <v>353</v>
      </c>
      <c r="C192" s="7" t="s">
        <v>354</v>
      </c>
      <c r="D192" s="17">
        <v>96</v>
      </c>
      <c r="E192" s="17">
        <v>24</v>
      </c>
      <c r="F192" s="12">
        <v>7.8</v>
      </c>
      <c r="G192" s="12">
        <v>7.65</v>
      </c>
      <c r="H192" s="12">
        <v>7.5</v>
      </c>
      <c r="I192" s="16"/>
      <c r="J192" s="12">
        <f t="shared" si="5"/>
        <v>0</v>
      </c>
      <c r="K192" s="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</row>
    <row r="193" spans="1:61" x14ac:dyDescent="0.35">
      <c r="A193" s="1"/>
      <c r="B193" s="7" t="s">
        <v>355</v>
      </c>
      <c r="C193" s="7" t="s">
        <v>356</v>
      </c>
      <c r="D193" s="17">
        <v>120</v>
      </c>
      <c r="E193" s="17">
        <v>24</v>
      </c>
      <c r="F193" s="12">
        <v>6.19</v>
      </c>
      <c r="G193" s="12">
        <v>6.07</v>
      </c>
      <c r="H193" s="12">
        <v>5.95</v>
      </c>
      <c r="I193" s="16"/>
      <c r="J193" s="12">
        <f t="shared" ref="J193:J212" si="6">I193*IF(I193&lt;100,F193,IF(I193&lt;240,G193,H193))</f>
        <v>0</v>
      </c>
      <c r="K193" s="8" t="s">
        <v>43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</row>
    <row r="194" spans="1:61" x14ac:dyDescent="0.35">
      <c r="A194" s="1"/>
      <c r="B194" s="7" t="s">
        <v>357</v>
      </c>
      <c r="C194" s="7" t="s">
        <v>358</v>
      </c>
      <c r="D194" s="17">
        <v>144</v>
      </c>
      <c r="E194" s="17">
        <v>72</v>
      </c>
      <c r="F194" s="12">
        <v>7.7</v>
      </c>
      <c r="G194" s="12">
        <v>7.55</v>
      </c>
      <c r="H194" s="12">
        <v>7.4</v>
      </c>
      <c r="I194" s="16"/>
      <c r="J194" s="12">
        <f t="shared" si="6"/>
        <v>0</v>
      </c>
      <c r="K194" s="8" t="s">
        <v>43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</row>
    <row r="195" spans="1:61" x14ac:dyDescent="0.35">
      <c r="A195" s="1"/>
      <c r="B195" s="7" t="s">
        <v>359</v>
      </c>
      <c r="C195" s="7" t="s">
        <v>360</v>
      </c>
      <c r="D195" s="17">
        <v>120</v>
      </c>
      <c r="E195" s="17">
        <v>24</v>
      </c>
      <c r="F195" s="12">
        <v>6.19</v>
      </c>
      <c r="G195" s="12">
        <v>6.07</v>
      </c>
      <c r="H195" s="12">
        <v>5.95</v>
      </c>
      <c r="I195" s="16"/>
      <c r="J195" s="12">
        <f t="shared" si="6"/>
        <v>0</v>
      </c>
      <c r="K195" s="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</row>
    <row r="196" spans="1:61" x14ac:dyDescent="0.35">
      <c r="A196" s="1"/>
      <c r="B196" s="7" t="s">
        <v>361</v>
      </c>
      <c r="C196" s="7" t="s">
        <v>362</v>
      </c>
      <c r="D196" s="17">
        <v>120</v>
      </c>
      <c r="E196" s="17">
        <v>24</v>
      </c>
      <c r="F196" s="12">
        <v>6.5</v>
      </c>
      <c r="G196" s="12">
        <v>6.38</v>
      </c>
      <c r="H196" s="12">
        <v>6.25</v>
      </c>
      <c r="I196" s="16"/>
      <c r="J196" s="12">
        <f t="shared" si="6"/>
        <v>0</v>
      </c>
      <c r="K196" s="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</row>
    <row r="197" spans="1:61" x14ac:dyDescent="0.35">
      <c r="A197" s="1"/>
      <c r="B197" s="7" t="s">
        <v>363</v>
      </c>
      <c r="C197" s="7" t="s">
        <v>364</v>
      </c>
      <c r="D197" s="17">
        <v>156</v>
      </c>
      <c r="E197" s="17">
        <v>12</v>
      </c>
      <c r="F197" s="12">
        <v>9.31</v>
      </c>
      <c r="G197" s="12">
        <v>9.1300000000000008</v>
      </c>
      <c r="H197" s="12">
        <v>8.9499999999999993</v>
      </c>
      <c r="I197" s="16"/>
      <c r="J197" s="12">
        <f t="shared" si="6"/>
        <v>0</v>
      </c>
      <c r="K197" s="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</row>
    <row r="198" spans="1:61" x14ac:dyDescent="0.35">
      <c r="A198" s="1"/>
      <c r="B198" s="7" t="s">
        <v>365</v>
      </c>
      <c r="C198" s="7" t="s">
        <v>366</v>
      </c>
      <c r="D198" s="17">
        <v>225</v>
      </c>
      <c r="E198" s="17">
        <v>45</v>
      </c>
      <c r="F198" s="12">
        <v>20.75</v>
      </c>
      <c r="G198" s="12">
        <v>20.350000000000001</v>
      </c>
      <c r="H198" s="12">
        <v>19.95</v>
      </c>
      <c r="I198" s="16"/>
      <c r="J198" s="12">
        <f t="shared" si="6"/>
        <v>0</v>
      </c>
      <c r="K198" s="8" t="s">
        <v>43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</row>
    <row r="199" spans="1:61" x14ac:dyDescent="0.35">
      <c r="A199" s="1"/>
      <c r="B199" s="7" t="s">
        <v>367</v>
      </c>
      <c r="C199" s="7" t="s">
        <v>368</v>
      </c>
      <c r="D199" s="17">
        <v>240</v>
      </c>
      <c r="E199" s="17">
        <v>30</v>
      </c>
      <c r="F199" s="12">
        <v>20.75</v>
      </c>
      <c r="G199" s="12">
        <v>20.350000000000001</v>
      </c>
      <c r="H199" s="12">
        <v>19.95</v>
      </c>
      <c r="I199" s="16"/>
      <c r="J199" s="12">
        <f t="shared" si="6"/>
        <v>0</v>
      </c>
      <c r="K199" s="8" t="s">
        <v>43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</row>
    <row r="200" spans="1:61" x14ac:dyDescent="0.35">
      <c r="A200" s="1"/>
      <c r="B200" s="7" t="s">
        <v>369</v>
      </c>
      <c r="C200" s="7" t="s">
        <v>370</v>
      </c>
      <c r="D200" s="17">
        <v>210</v>
      </c>
      <c r="E200" s="17">
        <v>35</v>
      </c>
      <c r="F200" s="12">
        <v>13.47</v>
      </c>
      <c r="G200" s="12">
        <v>13.21</v>
      </c>
      <c r="H200" s="12">
        <v>12.95</v>
      </c>
      <c r="I200" s="16"/>
      <c r="J200" s="12">
        <f t="shared" si="6"/>
        <v>0</v>
      </c>
      <c r="K200" s="8" t="s">
        <v>43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</row>
    <row r="201" spans="1:61" x14ac:dyDescent="0.35">
      <c r="A201" s="1"/>
      <c r="B201" s="7" t="s">
        <v>371</v>
      </c>
      <c r="C201" s="7" t="s">
        <v>372</v>
      </c>
      <c r="D201" s="17">
        <v>175</v>
      </c>
      <c r="E201" s="17">
        <v>35</v>
      </c>
      <c r="F201" s="12">
        <v>23.87</v>
      </c>
      <c r="G201" s="12">
        <v>23.41</v>
      </c>
      <c r="H201" s="12">
        <v>22.95</v>
      </c>
      <c r="I201" s="16"/>
      <c r="J201" s="12">
        <f t="shared" si="6"/>
        <v>0</v>
      </c>
      <c r="K201" s="8" t="s">
        <v>43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</row>
    <row r="202" spans="1:61" x14ac:dyDescent="0.35">
      <c r="A202" s="1"/>
      <c r="B202" s="7" t="s">
        <v>373</v>
      </c>
      <c r="C202" s="7" t="s">
        <v>374</v>
      </c>
      <c r="D202" s="17">
        <v>240</v>
      </c>
      <c r="E202" s="17">
        <v>24</v>
      </c>
      <c r="F202" s="12">
        <v>7.23</v>
      </c>
      <c r="G202" s="12">
        <v>7.09</v>
      </c>
      <c r="H202" s="12">
        <v>6.95</v>
      </c>
      <c r="I202" s="16"/>
      <c r="J202" s="12">
        <f t="shared" si="6"/>
        <v>0</v>
      </c>
      <c r="K202" s="8" t="s">
        <v>43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</row>
    <row r="203" spans="1:61" x14ac:dyDescent="0.35">
      <c r="A203" s="1"/>
      <c r="B203" s="7" t="s">
        <v>375</v>
      </c>
      <c r="C203" s="7" t="s">
        <v>376</v>
      </c>
      <c r="D203" s="17">
        <v>240</v>
      </c>
      <c r="E203" s="17">
        <v>24</v>
      </c>
      <c r="F203" s="12">
        <v>8.06</v>
      </c>
      <c r="G203" s="12">
        <v>7.91</v>
      </c>
      <c r="H203" s="12">
        <v>7.75</v>
      </c>
      <c r="I203" s="16"/>
      <c r="J203" s="12">
        <f t="shared" si="6"/>
        <v>0</v>
      </c>
      <c r="K203" s="8" t="s">
        <v>43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</row>
    <row r="204" spans="1:61" x14ac:dyDescent="0.35">
      <c r="A204" s="1"/>
      <c r="B204" s="7" t="s">
        <v>377</v>
      </c>
      <c r="C204" s="7" t="s">
        <v>378</v>
      </c>
      <c r="D204" s="17">
        <v>300</v>
      </c>
      <c r="E204" s="17">
        <v>60</v>
      </c>
      <c r="F204" s="12">
        <v>8.06</v>
      </c>
      <c r="G204" s="12">
        <v>7.91</v>
      </c>
      <c r="H204" s="12">
        <v>7.75</v>
      </c>
      <c r="I204" s="16"/>
      <c r="J204" s="12">
        <f t="shared" si="6"/>
        <v>0</v>
      </c>
      <c r="K204" s="8" t="s">
        <v>43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</row>
    <row r="205" spans="1:61" x14ac:dyDescent="0.35">
      <c r="A205" s="1"/>
      <c r="B205" s="7" t="s">
        <v>379</v>
      </c>
      <c r="C205" s="7" t="s">
        <v>380</v>
      </c>
      <c r="D205" s="17">
        <v>349</v>
      </c>
      <c r="E205" s="17">
        <v>35</v>
      </c>
      <c r="F205" s="12">
        <v>6.76</v>
      </c>
      <c r="G205" s="12">
        <v>6.63</v>
      </c>
      <c r="H205" s="12">
        <v>6.5</v>
      </c>
      <c r="I205" s="16"/>
      <c r="J205" s="12">
        <f t="shared" si="6"/>
        <v>0</v>
      </c>
      <c r="K205" s="8" t="s">
        <v>43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</row>
    <row r="206" spans="1:61" x14ac:dyDescent="0.35">
      <c r="A206" s="1"/>
      <c r="B206" s="7" t="s">
        <v>381</v>
      </c>
      <c r="C206" s="7" t="s">
        <v>382</v>
      </c>
      <c r="D206" s="17">
        <v>350</v>
      </c>
      <c r="E206" s="17">
        <v>35</v>
      </c>
      <c r="F206" s="12">
        <v>6.76</v>
      </c>
      <c r="G206" s="12">
        <v>6.63</v>
      </c>
      <c r="H206" s="12">
        <v>6.5</v>
      </c>
      <c r="I206" s="16"/>
      <c r="J206" s="12">
        <f t="shared" si="6"/>
        <v>0</v>
      </c>
      <c r="K206" s="8" t="s">
        <v>43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</row>
    <row r="207" spans="1:61" x14ac:dyDescent="0.35">
      <c r="A207" s="1"/>
      <c r="B207" s="7" t="s">
        <v>383</v>
      </c>
      <c r="C207" s="7" t="s">
        <v>384</v>
      </c>
      <c r="D207" s="17">
        <v>240</v>
      </c>
      <c r="E207" s="17">
        <v>24</v>
      </c>
      <c r="F207" s="12">
        <v>6.76</v>
      </c>
      <c r="G207" s="12">
        <v>6.63</v>
      </c>
      <c r="H207" s="12">
        <v>6.5</v>
      </c>
      <c r="I207" s="16"/>
      <c r="J207" s="12">
        <f t="shared" si="6"/>
        <v>0</v>
      </c>
      <c r="K207" s="8" t="s">
        <v>43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</row>
    <row r="208" spans="1:61" x14ac:dyDescent="0.35">
      <c r="A208" s="1"/>
      <c r="B208" s="7" t="s">
        <v>385</v>
      </c>
      <c r="C208" s="7" t="s">
        <v>386</v>
      </c>
      <c r="D208" s="17">
        <v>135</v>
      </c>
      <c r="E208" s="17">
        <v>45</v>
      </c>
      <c r="F208" s="12">
        <v>28.03</v>
      </c>
      <c r="G208" s="12">
        <v>27.49</v>
      </c>
      <c r="H208" s="12">
        <v>26.95</v>
      </c>
      <c r="I208" s="16"/>
      <c r="J208" s="12">
        <f t="shared" si="6"/>
        <v>0</v>
      </c>
      <c r="K208" s="8" t="s">
        <v>43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</row>
    <row r="209" spans="1:61" x14ac:dyDescent="0.35">
      <c r="A209" s="1"/>
      <c r="B209" s="7" t="s">
        <v>387</v>
      </c>
      <c r="C209" s="7" t="s">
        <v>388</v>
      </c>
      <c r="D209" s="17">
        <v>240</v>
      </c>
      <c r="E209" s="17">
        <v>48</v>
      </c>
      <c r="F209" s="12">
        <v>11.96</v>
      </c>
      <c r="G209" s="12">
        <v>11.73</v>
      </c>
      <c r="H209" s="12">
        <v>11.5</v>
      </c>
      <c r="I209" s="16"/>
      <c r="J209" s="12">
        <f t="shared" si="6"/>
        <v>0</v>
      </c>
      <c r="K209" s="8" t="s">
        <v>43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</row>
    <row r="210" spans="1:61" x14ac:dyDescent="0.35">
      <c r="A210" s="1"/>
      <c r="B210" s="7" t="s">
        <v>389</v>
      </c>
      <c r="C210" s="7" t="s">
        <v>390</v>
      </c>
      <c r="D210" s="17">
        <v>225</v>
      </c>
      <c r="E210" s="17">
        <v>45</v>
      </c>
      <c r="F210" s="12">
        <v>26.99</v>
      </c>
      <c r="G210" s="12">
        <v>26.47</v>
      </c>
      <c r="H210" s="12">
        <v>25.95</v>
      </c>
      <c r="I210" s="16"/>
      <c r="J210" s="12">
        <f t="shared" si="6"/>
        <v>0</v>
      </c>
      <c r="K210" s="8" t="s">
        <v>43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</row>
    <row r="211" spans="1:61" x14ac:dyDescent="0.35">
      <c r="A211" s="1"/>
      <c r="B211" s="7" t="s">
        <v>391</v>
      </c>
      <c r="C211" s="7" t="s">
        <v>392</v>
      </c>
      <c r="D211" s="17">
        <v>225</v>
      </c>
      <c r="E211" s="17">
        <v>45</v>
      </c>
      <c r="F211" s="12">
        <v>16.329999999999998</v>
      </c>
      <c r="G211" s="12">
        <v>16.02</v>
      </c>
      <c r="H211" s="12">
        <v>15.7</v>
      </c>
      <c r="I211" s="16"/>
      <c r="J211" s="12">
        <f t="shared" si="6"/>
        <v>0</v>
      </c>
      <c r="K211" s="8" t="s">
        <v>43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</row>
    <row r="212" spans="1:61" x14ac:dyDescent="0.35">
      <c r="A212" s="1"/>
      <c r="B212" s="7" t="s">
        <v>393</v>
      </c>
      <c r="C212" s="7" t="s">
        <v>394</v>
      </c>
      <c r="D212" s="17">
        <v>252</v>
      </c>
      <c r="E212" s="17">
        <v>12</v>
      </c>
      <c r="F212" s="12">
        <v>11.44</v>
      </c>
      <c r="G212" s="12">
        <v>11.22</v>
      </c>
      <c r="H212" s="12">
        <v>11</v>
      </c>
      <c r="I212" s="16"/>
      <c r="J212" s="12">
        <f t="shared" si="6"/>
        <v>0</v>
      </c>
      <c r="K212" s="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</row>
    <row r="213" spans="1:61" x14ac:dyDescent="0.35">
      <c r="A213" s="18"/>
      <c r="B213" s="18"/>
      <c r="C213" s="18"/>
      <c r="D213" s="18"/>
      <c r="E213" s="18"/>
      <c r="F213" s="18"/>
      <c r="G213" s="18"/>
      <c r="H213" s="19" t="s">
        <v>13</v>
      </c>
      <c r="I213" s="19">
        <f>SUM(I1:I212)</f>
        <v>0</v>
      </c>
      <c r="J213" s="20">
        <f>SUM(J1:J212)</f>
        <v>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</row>
    <row r="214" spans="1:61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</row>
    <row r="215" spans="1:61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</row>
    <row r="216" spans="1:61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</row>
    <row r="217" spans="1:61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</row>
    <row r="218" spans="1:61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</row>
    <row r="219" spans="1:61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</row>
    <row r="220" spans="1:61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</row>
    <row r="221" spans="1:61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</row>
    <row r="222" spans="1:61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</row>
    <row r="223" spans="1:61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</row>
    <row r="224" spans="1:61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</row>
    <row r="225" spans="1:61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</row>
    <row r="226" spans="1:61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</row>
    <row r="227" spans="1:61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</row>
    <row r="228" spans="1:61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</row>
    <row r="229" spans="1:61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</row>
    <row r="230" spans="1:61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</row>
    <row r="231" spans="1:61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</row>
    <row r="232" spans="1:61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</row>
    <row r="233" spans="1:61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</row>
    <row r="234" spans="1:6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</row>
    <row r="235" spans="1:61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</row>
    <row r="236" spans="1:6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</row>
    <row r="237" spans="1:61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</row>
    <row r="238" spans="1:6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</row>
    <row r="239" spans="1:6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</row>
    <row r="240" spans="1:6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</row>
    <row r="241" spans="1:6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</row>
    <row r="242" spans="1:6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</row>
    <row r="243" spans="1:6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</row>
    <row r="244" spans="1:6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</row>
    <row r="245" spans="1:6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</row>
    <row r="246" spans="1:6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</row>
    <row r="247" spans="1:6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</row>
    <row r="248" spans="1:6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</row>
    <row r="249" spans="1:6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</row>
    <row r="250" spans="1:6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</row>
    <row r="251" spans="1:6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</row>
    <row r="252" spans="1:6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</row>
    <row r="253" spans="1:6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</row>
    <row r="254" spans="1:6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</row>
    <row r="255" spans="1:6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</row>
    <row r="256" spans="1:6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</row>
    <row r="257" spans="1:6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</row>
    <row r="258" spans="1:6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</row>
    <row r="259" spans="1:6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</row>
    <row r="260" spans="1:6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</row>
    <row r="261" spans="1:6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</row>
    <row r="262" spans="1:6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</row>
    <row r="263" spans="1:6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</row>
    <row r="264" spans="1:6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</row>
    <row r="265" spans="1:6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</row>
    <row r="266" spans="1:6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</row>
    <row r="267" spans="1:6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</row>
    <row r="268" spans="1:6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</row>
    <row r="269" spans="1:6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</row>
    <row r="270" spans="1:6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</row>
    <row r="271" spans="1:6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</row>
    <row r="272" spans="1:6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</row>
    <row r="273" spans="1:6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</row>
    <row r="274" spans="1:6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</row>
    <row r="275" spans="1:6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</row>
    <row r="276" spans="1:6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</row>
    <row r="277" spans="1:6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</row>
    <row r="278" spans="1:6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</row>
    <row r="279" spans="1:6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</row>
    <row r="280" spans="1:6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</row>
    <row r="281" spans="1:6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</row>
    <row r="282" spans="1:6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</row>
    <row r="283" spans="1:6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</row>
    <row r="284" spans="1:6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</row>
    <row r="285" spans="1:6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</row>
    <row r="286" spans="1:6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</row>
    <row r="287" spans="1:6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</row>
    <row r="288" spans="1:6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</row>
    <row r="289" spans="1:6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</row>
    <row r="290" spans="1:6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</row>
    <row r="291" spans="1:6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</row>
    <row r="292" spans="1:6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</row>
    <row r="293" spans="1:6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</row>
    <row r="294" spans="1:6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</row>
    <row r="295" spans="1:6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</row>
    <row r="296" spans="1:6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</row>
    <row r="297" spans="1:6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</row>
    <row r="298" spans="1:6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</row>
    <row r="299" spans="1:6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</row>
    <row r="300" spans="1:6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</row>
    <row r="301" spans="1:6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</row>
    <row r="302" spans="1:6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</row>
    <row r="303" spans="1:6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</row>
    <row r="304" spans="1:6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</row>
    <row r="305" spans="1:6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</row>
    <row r="306" spans="1:6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</row>
    <row r="307" spans="1:6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</row>
    <row r="308" spans="1:6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</row>
    <row r="309" spans="1:6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</row>
    <row r="310" spans="1:6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</row>
    <row r="311" spans="1:6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</row>
    <row r="312" spans="1:6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</row>
    <row r="313" spans="1:6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</row>
    <row r="314" spans="1:6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</row>
    <row r="315" spans="1:6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</row>
    <row r="316" spans="1:6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</row>
    <row r="317" spans="1:6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</row>
    <row r="318" spans="1:6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</row>
    <row r="319" spans="1:6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</row>
    <row r="320" spans="1:6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</row>
    <row r="321" spans="1:6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</row>
    <row r="322" spans="1:6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</row>
    <row r="323" spans="1:6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</row>
    <row r="324" spans="1:6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</row>
    <row r="325" spans="1:6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</row>
    <row r="326" spans="1:6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</row>
    <row r="327" spans="1:6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</row>
    <row r="328" spans="1:6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</row>
    <row r="329" spans="1:6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</row>
    <row r="330" spans="1:6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</row>
    <row r="331" spans="1:6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</row>
    <row r="332" spans="1:6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</row>
    <row r="333" spans="1:6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</row>
    <row r="334" spans="1:6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</row>
    <row r="335" spans="1:6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</row>
    <row r="336" spans="1:6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</row>
    <row r="337" spans="1:6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</row>
    <row r="338" spans="1:6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</row>
    <row r="339" spans="1:6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</row>
    <row r="340" spans="1:6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</row>
    <row r="341" spans="1:6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</row>
    <row r="342" spans="1:6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</row>
    <row r="343" spans="1:6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</row>
    <row r="344" spans="1:6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</row>
    <row r="345" spans="1:6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</row>
    <row r="346" spans="1:6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</row>
    <row r="347" spans="1:6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</row>
    <row r="348" spans="1:6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</row>
    <row r="349" spans="1:6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</row>
    <row r="350" spans="1:6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</row>
    <row r="351" spans="1:6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</row>
    <row r="352" spans="1:6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</row>
    <row r="353" spans="1:6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</row>
    <row r="354" spans="1:6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</row>
    <row r="355" spans="1:6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</row>
    <row r="356" spans="1:6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</row>
    <row r="357" spans="1:6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</row>
    <row r="358" spans="1:6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</row>
    <row r="359" spans="1:6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</row>
    <row r="360" spans="1:6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</row>
    <row r="361" spans="1:6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</row>
    <row r="362" spans="1:6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</row>
    <row r="363" spans="1:6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</row>
    <row r="364" spans="1:6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</row>
    <row r="365" spans="1:6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</row>
    <row r="366" spans="1:6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</row>
    <row r="367" spans="1:6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</row>
    <row r="368" spans="1:6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</row>
    <row r="369" spans="1:6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</row>
    <row r="370" spans="1:6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</row>
    <row r="371" spans="1:6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</row>
    <row r="372" spans="1:6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</row>
    <row r="373" spans="1:6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</row>
    <row r="374" spans="1:6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</row>
    <row r="375" spans="1:6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</row>
    <row r="376" spans="1:6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</row>
    <row r="377" spans="1:6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</row>
    <row r="378" spans="1:6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</row>
    <row r="379" spans="1:6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</row>
    <row r="380" spans="1:6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</row>
    <row r="381" spans="1:6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</row>
    <row r="382" spans="1:6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</row>
    <row r="383" spans="1:6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</row>
    <row r="384" spans="1:6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</row>
    <row r="385" spans="1:6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</row>
    <row r="386" spans="1:6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</row>
    <row r="387" spans="1:6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</row>
    <row r="388" spans="1:6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</row>
    <row r="389" spans="1:6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</row>
    <row r="390" spans="1:6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</row>
    <row r="391" spans="1:6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</row>
    <row r="392" spans="1:6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</row>
    <row r="393" spans="1:6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</row>
    <row r="394" spans="1:6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</row>
    <row r="395" spans="1:6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</row>
    <row r="396" spans="1:6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</row>
    <row r="397" spans="1:6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</row>
    <row r="398" spans="1:6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</row>
    <row r="399" spans="1:6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</row>
    <row r="400" spans="1:6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</row>
    <row r="401" spans="1:6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</row>
    <row r="402" spans="1:6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</row>
    <row r="403" spans="1:6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</row>
    <row r="404" spans="1:6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</row>
    <row r="405" spans="1:6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</row>
    <row r="406" spans="1:6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</row>
    <row r="407" spans="1:6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</row>
    <row r="408" spans="1:6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</row>
    <row r="409" spans="1:6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</row>
    <row r="410" spans="1:6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</row>
    <row r="411" spans="1:6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</row>
    <row r="412" spans="1:6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</row>
    <row r="413" spans="1:6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</row>
    <row r="414" spans="1:6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</row>
    <row r="415" spans="1:6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</row>
    <row r="416" spans="1:6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</row>
    <row r="417" spans="1:6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</row>
    <row r="418" spans="1:6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</row>
    <row r="419" spans="1:6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</row>
    <row r="420" spans="1:6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</row>
    <row r="421" spans="1:6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</row>
    <row r="422" spans="1:6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</row>
    <row r="423" spans="1:6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</row>
    <row r="424" spans="1:6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</row>
    <row r="425" spans="1:6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</row>
    <row r="426" spans="1:6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</row>
    <row r="427" spans="1:6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</row>
    <row r="428" spans="1:6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</row>
    <row r="429" spans="1:6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</row>
    <row r="430" spans="1:6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</row>
    <row r="431" spans="1:6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</row>
    <row r="432" spans="1:6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</row>
    <row r="433" spans="1:6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</row>
    <row r="434" spans="1:6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</row>
    <row r="435" spans="1:6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</row>
    <row r="436" spans="1:6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</row>
    <row r="437" spans="1:6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</row>
    <row r="438" spans="1:6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</row>
    <row r="439" spans="1:6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</row>
    <row r="440" spans="1:6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</row>
    <row r="441" spans="1:6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</row>
    <row r="442" spans="1:6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</row>
    <row r="443" spans="1:6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</row>
    <row r="444" spans="1:6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</row>
    <row r="445" spans="1:6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</row>
    <row r="446" spans="1:6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</row>
    <row r="447" spans="1:6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</row>
    <row r="448" spans="1:6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</row>
    <row r="449" spans="1:6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</row>
    <row r="450" spans="1:6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</row>
    <row r="451" spans="1:6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</row>
    <row r="452" spans="1:6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</row>
    <row r="453" spans="1:6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</row>
    <row r="454" spans="1:6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</row>
    <row r="455" spans="1:6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</row>
    <row r="456" spans="1:6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</row>
    <row r="457" spans="1:6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</row>
    <row r="458" spans="1:6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</row>
    <row r="459" spans="1:6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</row>
    <row r="460" spans="1:6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</row>
    <row r="461" spans="1:6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</row>
    <row r="462" spans="1:6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</row>
    <row r="463" spans="1:6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</row>
    <row r="464" spans="1:6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</row>
    <row r="465" spans="1:6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</row>
    <row r="466" spans="1:6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</row>
    <row r="467" spans="1:6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</row>
    <row r="468" spans="1:6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</row>
    <row r="469" spans="1:6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</row>
    <row r="470" spans="1:6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</row>
    <row r="471" spans="1:6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</row>
    <row r="472" spans="1:6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</row>
    <row r="473" spans="1:6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</row>
    <row r="474" spans="1:6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</row>
    <row r="475" spans="1:6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</row>
    <row r="476" spans="1:6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</row>
    <row r="477" spans="1:6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</row>
    <row r="478" spans="1:6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</row>
    <row r="479" spans="1:6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</row>
    <row r="480" spans="1:6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</row>
    <row r="481" spans="1:6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</row>
    <row r="482" spans="1:6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</row>
    <row r="483" spans="1:6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</row>
    <row r="484" spans="1:6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</row>
    <row r="485" spans="1:6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</row>
    <row r="486" spans="1:6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</row>
    <row r="487" spans="1:6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</row>
    <row r="488" spans="1:6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</row>
    <row r="489" spans="1:6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</row>
    <row r="490" spans="1:6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</row>
    <row r="491" spans="1:6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</row>
    <row r="492" spans="1:6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</row>
    <row r="493" spans="1:6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</row>
    <row r="494" spans="1:6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</row>
    <row r="495" spans="1:6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</row>
    <row r="496" spans="1:6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</row>
    <row r="497" spans="1:6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</row>
    <row r="498" spans="1:6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</row>
    <row r="499" spans="1:6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</row>
    <row r="500" spans="1:6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</row>
    <row r="501" spans="1:6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</row>
    <row r="502" spans="1:6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</row>
    <row r="503" spans="1:6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</row>
    <row r="504" spans="1:6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</row>
    <row r="505" spans="1:6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</row>
    <row r="506" spans="1:6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</row>
    <row r="507" spans="1:6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</row>
    <row r="508" spans="1:6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</row>
    <row r="509" spans="1:6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</row>
    <row r="510" spans="1:6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</row>
    <row r="511" spans="1:6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</row>
    <row r="512" spans="1:6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</row>
    <row r="513" spans="1:6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</row>
    <row r="514" spans="1:6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</row>
    <row r="515" spans="1:6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</row>
    <row r="516" spans="1:6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</row>
    <row r="517" spans="1:6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</row>
    <row r="518" spans="1:6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</row>
    <row r="519" spans="1:6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</row>
    <row r="520" spans="1:6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</row>
    <row r="521" spans="1:6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</row>
    <row r="522" spans="1:6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</row>
    <row r="523" spans="1:6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</row>
    <row r="524" spans="1:6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</row>
    <row r="525" spans="1:6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</row>
    <row r="526" spans="1:6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</row>
    <row r="527" spans="1:6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</row>
    <row r="528" spans="1:6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</row>
    <row r="529" spans="1:6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</row>
    <row r="530" spans="1:6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</row>
    <row r="531" spans="1:6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</row>
    <row r="532" spans="1:6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</row>
    <row r="533" spans="1:6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</row>
    <row r="534" spans="1:6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</row>
    <row r="535" spans="1:6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</row>
    <row r="536" spans="1:6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</row>
    <row r="537" spans="1:6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</row>
    <row r="538" spans="1:6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</row>
    <row r="539" spans="1:6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</row>
    <row r="540" spans="1:6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</row>
    <row r="541" spans="1:6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</row>
    <row r="542" spans="1:6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</row>
    <row r="543" spans="1:6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</row>
    <row r="544" spans="1:6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</row>
    <row r="545" spans="1:6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</row>
    <row r="546" spans="1:6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</row>
    <row r="547" spans="1:6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</row>
    <row r="548" spans="1:6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</row>
    <row r="549" spans="1:6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</row>
    <row r="550" spans="1:6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</row>
    <row r="551" spans="1:6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</row>
    <row r="552" spans="1:6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</row>
    <row r="553" spans="1:6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</row>
    <row r="554" spans="1:6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</row>
    <row r="555" spans="1:6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</row>
    <row r="556" spans="1:6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</row>
    <row r="557" spans="1:6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</row>
    <row r="558" spans="1:6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</row>
    <row r="559" spans="1:6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</row>
    <row r="560" spans="1:6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</row>
    <row r="561" spans="1:6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</row>
    <row r="562" spans="1:6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</row>
    <row r="563" spans="1:6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</row>
    <row r="564" spans="1:6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</row>
    <row r="565" spans="1:6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</row>
    <row r="566" spans="1:6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</row>
    <row r="567" spans="1:6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</row>
    <row r="568" spans="1:6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</row>
    <row r="569" spans="1:6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</row>
    <row r="570" spans="1:6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</row>
    <row r="571" spans="1:6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</row>
    <row r="572" spans="1:6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</row>
    <row r="573" spans="1:6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</row>
    <row r="574" spans="1:6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</row>
    <row r="575" spans="1:6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</row>
    <row r="576" spans="1:6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</row>
    <row r="577" spans="1:6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</row>
    <row r="578" spans="1:6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</row>
    <row r="579" spans="1:6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</row>
    <row r="580" spans="1:6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</row>
    <row r="581" spans="1:6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</row>
    <row r="582" spans="1:6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</row>
    <row r="583" spans="1:6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</row>
    <row r="584" spans="1:6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</row>
    <row r="585" spans="1:6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</row>
    <row r="586" spans="1:6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</row>
    <row r="587" spans="1:6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</row>
    <row r="588" spans="1:6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</row>
    <row r="589" spans="1:6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</row>
    <row r="590" spans="1:6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</row>
    <row r="591" spans="1:6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</row>
    <row r="592" spans="1:6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</row>
    <row r="593" spans="1:6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</row>
    <row r="594" spans="1:6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</row>
    <row r="595" spans="1:6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</row>
    <row r="596" spans="1:6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</row>
    <row r="597" spans="1:6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</row>
    <row r="598" spans="1:6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</row>
    <row r="599" spans="1:6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</row>
    <row r="600" spans="1:6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</row>
    <row r="601" spans="1:6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</row>
    <row r="602" spans="1:6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</row>
    <row r="603" spans="1:6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</row>
    <row r="604" spans="1:6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</row>
    <row r="605" spans="1:6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</row>
    <row r="606" spans="1:6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</row>
    <row r="607" spans="1:6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</row>
    <row r="608" spans="1:6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</row>
    <row r="609" spans="1:6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</row>
    <row r="610" spans="1:6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</row>
    <row r="611" spans="1:6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</row>
    <row r="612" spans="1:6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</row>
    <row r="613" spans="1:6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</row>
    <row r="614" spans="1:6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</row>
    <row r="615" spans="1:6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</row>
    <row r="616" spans="1:6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</row>
    <row r="617" spans="1:6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</row>
    <row r="618" spans="1:6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</row>
    <row r="619" spans="1:6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</row>
    <row r="620" spans="1:6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</row>
    <row r="621" spans="1:6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</row>
    <row r="622" spans="1:6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</row>
    <row r="623" spans="1:6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</row>
    <row r="624" spans="1:6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</row>
    <row r="625" spans="1:6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</row>
    <row r="626" spans="1:6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</row>
    <row r="627" spans="1:6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</row>
    <row r="628" spans="1:6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</row>
    <row r="629" spans="1:6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</row>
    <row r="630" spans="1:6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</row>
    <row r="631" spans="1:6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</row>
    <row r="632" spans="1:6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</row>
    <row r="633" spans="1:6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</row>
    <row r="634" spans="1:6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</row>
    <row r="635" spans="1:6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</row>
    <row r="636" spans="1:6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</row>
    <row r="637" spans="1:6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</row>
    <row r="638" spans="1:6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</row>
    <row r="639" spans="1:6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</row>
    <row r="640" spans="1:6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</row>
    <row r="641" spans="1:6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</row>
    <row r="642" spans="1:6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</row>
    <row r="643" spans="1:6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</row>
    <row r="644" spans="1:6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</row>
    <row r="645" spans="1:6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</row>
    <row r="646" spans="1:6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</row>
    <row r="647" spans="1:6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</row>
    <row r="648" spans="1:6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</row>
    <row r="649" spans="1:6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</row>
    <row r="650" spans="1:6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</row>
    <row r="651" spans="1:6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</row>
    <row r="652" spans="1:6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</row>
    <row r="653" spans="1:6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</row>
    <row r="654" spans="1:6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</row>
    <row r="655" spans="1:6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</row>
    <row r="656" spans="1:6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</row>
    <row r="657" spans="1:6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</row>
    <row r="658" spans="1:6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</row>
    <row r="659" spans="1:6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</row>
    <row r="660" spans="1:6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</row>
    <row r="661" spans="1:6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</row>
    <row r="662" spans="1:6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</row>
    <row r="663" spans="1:6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</row>
    <row r="664" spans="1:6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</row>
    <row r="665" spans="1:6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</row>
    <row r="666" spans="1:6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</row>
    <row r="667" spans="1:6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</row>
    <row r="668" spans="1:6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</row>
    <row r="669" spans="1:6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</row>
    <row r="670" spans="1:6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</row>
    <row r="671" spans="1:6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</row>
    <row r="672" spans="1:6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</row>
    <row r="673" spans="1:6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</row>
    <row r="674" spans="1:6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</row>
    <row r="675" spans="1:6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</row>
    <row r="676" spans="1:6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</row>
    <row r="677" spans="1:6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</row>
    <row r="678" spans="1:6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</row>
    <row r="679" spans="1:6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</row>
    <row r="680" spans="1:6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</row>
    <row r="681" spans="1:6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</row>
    <row r="682" spans="1:6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</row>
    <row r="683" spans="1:6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</row>
    <row r="684" spans="1:6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</row>
    <row r="685" spans="1:6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</row>
    <row r="686" spans="1:6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</row>
    <row r="687" spans="1:6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</row>
    <row r="688" spans="1:6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</row>
    <row r="689" spans="1:6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</row>
    <row r="690" spans="1:6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</row>
    <row r="691" spans="1:6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</row>
    <row r="692" spans="1:6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</row>
    <row r="693" spans="1:6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</row>
    <row r="694" spans="1:6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</row>
    <row r="695" spans="1:6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</row>
    <row r="696" spans="1:6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</row>
    <row r="697" spans="1:6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</row>
    <row r="698" spans="1:6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</row>
    <row r="699" spans="1:6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</row>
    <row r="700" spans="1:6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</row>
    <row r="701" spans="1:6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</row>
    <row r="702" spans="1:6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</row>
    <row r="703" spans="1:6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</row>
    <row r="704" spans="1:6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</row>
    <row r="705" spans="1:6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</row>
    <row r="706" spans="1:6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</row>
    <row r="707" spans="1:6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</row>
    <row r="708" spans="1:6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</row>
    <row r="709" spans="1:6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</row>
    <row r="710" spans="1:6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</row>
    <row r="711" spans="1:6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</row>
    <row r="712" spans="1:6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</row>
    <row r="713" spans="1:6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</row>
    <row r="714" spans="1:6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</row>
    <row r="715" spans="1:6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</row>
    <row r="716" spans="1:6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</row>
    <row r="717" spans="1:6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</row>
    <row r="718" spans="1:6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</row>
    <row r="719" spans="1:6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</row>
    <row r="720" spans="1:6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</row>
    <row r="721" spans="1:6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</row>
    <row r="722" spans="1:6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</row>
    <row r="723" spans="1:6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</row>
    <row r="724" spans="1:6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</row>
    <row r="725" spans="1:6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</row>
    <row r="726" spans="1:6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</row>
    <row r="727" spans="1:6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</row>
    <row r="728" spans="1:6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</row>
    <row r="729" spans="1:6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</row>
    <row r="730" spans="1:6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</row>
    <row r="731" spans="1:6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</row>
    <row r="732" spans="1:6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</row>
    <row r="733" spans="1:6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</row>
    <row r="734" spans="1:6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</row>
    <row r="735" spans="1:6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</row>
    <row r="736" spans="1:6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</row>
    <row r="737" spans="1:6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</row>
    <row r="738" spans="1:6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</row>
    <row r="739" spans="1:6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</row>
    <row r="740" spans="1:6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</row>
    <row r="741" spans="1:6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</row>
    <row r="742" spans="1:6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</row>
    <row r="743" spans="1:6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</row>
    <row r="744" spans="1:6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</row>
    <row r="745" spans="1:6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</row>
    <row r="746" spans="1:6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</row>
    <row r="747" spans="1:6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</row>
    <row r="748" spans="1:6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</row>
    <row r="749" spans="1:6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</row>
    <row r="750" spans="1:6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</row>
    <row r="751" spans="1:6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</row>
    <row r="752" spans="1:6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</row>
    <row r="753" spans="1:6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</row>
    <row r="754" spans="1:6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</row>
    <row r="755" spans="1:6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</row>
    <row r="756" spans="1:6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</row>
    <row r="757" spans="1:6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</row>
    <row r="758" spans="1:6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</row>
    <row r="759" spans="1:6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</row>
    <row r="760" spans="1:6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</row>
    <row r="761" spans="1:6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</row>
    <row r="762" spans="1:6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</row>
    <row r="763" spans="1:6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</row>
    <row r="764" spans="1:6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</row>
    <row r="765" spans="1:6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</row>
    <row r="766" spans="1:6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</row>
    <row r="767" spans="1:6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</row>
    <row r="768" spans="1:6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</row>
    <row r="769" spans="1:6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</row>
    <row r="770" spans="1:6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</row>
    <row r="771" spans="1:6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</row>
    <row r="772" spans="1:6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</row>
    <row r="773" spans="1:6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</row>
    <row r="774" spans="1:6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</row>
    <row r="775" spans="1:6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</row>
    <row r="776" spans="1:6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</row>
    <row r="777" spans="1:6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</row>
    <row r="778" spans="1:6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</row>
    <row r="779" spans="1:6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</row>
    <row r="780" spans="1:6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</row>
    <row r="781" spans="1:6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</row>
    <row r="782" spans="1:6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</row>
    <row r="783" spans="1:6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</row>
    <row r="784" spans="1:6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</row>
    <row r="785" spans="1:6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</row>
    <row r="786" spans="1:6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</row>
    <row r="787" spans="1:6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</row>
    <row r="788" spans="1:6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</row>
    <row r="789" spans="1:6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</row>
    <row r="790" spans="1:6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</row>
    <row r="791" spans="1:6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</row>
    <row r="792" spans="1:6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</row>
    <row r="793" spans="1:6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</row>
    <row r="794" spans="1:6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</row>
    <row r="795" spans="1:6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</row>
    <row r="796" spans="1:6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</row>
    <row r="797" spans="1:6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</row>
    <row r="798" spans="1:6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</row>
    <row r="799" spans="1:6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</row>
    <row r="800" spans="1:6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</row>
    <row r="801" spans="1:6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</row>
    <row r="802" spans="1:6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</row>
    <row r="803" spans="1:6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</row>
    <row r="804" spans="1:6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</row>
    <row r="805" spans="1:6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</row>
    <row r="806" spans="1:6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</row>
    <row r="807" spans="1:6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</row>
    <row r="808" spans="1:6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</row>
    <row r="809" spans="1:6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</row>
    <row r="810" spans="1:6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</row>
    <row r="811" spans="1:6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</row>
    <row r="812" spans="1:6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</row>
    <row r="813" spans="1:6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</row>
    <row r="814" spans="1:6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</row>
    <row r="815" spans="1:6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</row>
    <row r="816" spans="1:6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</row>
    <row r="817" spans="1:6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</row>
    <row r="818" spans="1:6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</row>
    <row r="819" spans="1:6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</row>
    <row r="820" spans="1:6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</row>
    <row r="821" spans="1:6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</row>
    <row r="822" spans="1:6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</row>
    <row r="823" spans="1:6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</row>
    <row r="824" spans="1:6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</row>
    <row r="825" spans="1:6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</row>
    <row r="826" spans="1:6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</row>
    <row r="827" spans="1:6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</row>
    <row r="828" spans="1:6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</row>
    <row r="829" spans="1:6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</row>
    <row r="830" spans="1:6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</row>
    <row r="831" spans="1:6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</row>
    <row r="832" spans="1:6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</row>
    <row r="833" spans="1:6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</row>
    <row r="834" spans="1:6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</row>
    <row r="835" spans="1:6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</row>
    <row r="836" spans="1:6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</row>
    <row r="837" spans="1:6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</row>
    <row r="838" spans="1:6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</row>
    <row r="839" spans="1:6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</row>
    <row r="840" spans="1:6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</row>
    <row r="841" spans="1:6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</row>
    <row r="842" spans="1:6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</row>
    <row r="843" spans="1:6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</row>
    <row r="844" spans="1:6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</row>
    <row r="845" spans="1:6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</row>
    <row r="846" spans="1:6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</row>
    <row r="847" spans="1:6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</row>
    <row r="848" spans="1:6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</row>
    <row r="849" spans="1:6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</row>
    <row r="850" spans="1:6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</row>
    <row r="851" spans="1:6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</row>
    <row r="852" spans="1:6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</row>
    <row r="853" spans="1:6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</row>
    <row r="854" spans="1:6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</row>
    <row r="855" spans="1:6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</row>
    <row r="856" spans="1:6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</row>
    <row r="857" spans="1:6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</row>
    <row r="858" spans="1:6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</row>
    <row r="859" spans="1:6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</row>
    <row r="860" spans="1:6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</row>
    <row r="861" spans="1:6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</row>
    <row r="862" spans="1:6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</row>
    <row r="863" spans="1:6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</row>
    <row r="864" spans="1:6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</row>
    <row r="865" spans="1:6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</row>
    <row r="866" spans="1:6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</row>
    <row r="867" spans="1:6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</row>
    <row r="868" spans="1:6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</row>
    <row r="869" spans="1:6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</row>
    <row r="870" spans="1:6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</row>
    <row r="871" spans="1:6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</row>
    <row r="872" spans="1:6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</row>
    <row r="873" spans="1:6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</row>
    <row r="874" spans="1:6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</row>
    <row r="875" spans="1:6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</row>
    <row r="876" spans="1:6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</row>
    <row r="877" spans="1:6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</row>
    <row r="878" spans="1:6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</row>
    <row r="879" spans="1:6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</row>
    <row r="880" spans="1:6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</row>
    <row r="881" spans="1:6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</row>
    <row r="882" spans="1:6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</row>
    <row r="883" spans="1:6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</row>
    <row r="884" spans="1:6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</row>
    <row r="885" spans="1:6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</row>
    <row r="886" spans="1:6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</row>
    <row r="887" spans="1:6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</row>
    <row r="888" spans="1:6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</row>
    <row r="889" spans="1:6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</row>
    <row r="890" spans="1:6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</row>
    <row r="891" spans="1:6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</row>
    <row r="892" spans="1:6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</row>
    <row r="893" spans="1:6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</row>
    <row r="894" spans="1:6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</row>
    <row r="895" spans="1:6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</row>
    <row r="896" spans="1:6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</row>
    <row r="897" spans="1:6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</row>
    <row r="898" spans="1:6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</row>
    <row r="899" spans="1:6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</row>
    <row r="900" spans="1:6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</row>
    <row r="901" spans="1:6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</row>
    <row r="902" spans="1:6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</row>
    <row r="903" spans="1:6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</row>
    <row r="904" spans="1:6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</row>
    <row r="905" spans="1:6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</row>
    <row r="906" spans="1:6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</row>
    <row r="907" spans="1:6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</row>
    <row r="908" spans="1:6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</row>
    <row r="909" spans="1:6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</row>
    <row r="910" spans="1:6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</row>
    <row r="911" spans="1:6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</row>
    <row r="912" spans="1:6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</row>
    <row r="913" spans="1:6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</row>
    <row r="914" spans="1:6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</row>
    <row r="915" spans="1:6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</row>
    <row r="916" spans="1:6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</row>
    <row r="917" spans="1:6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</row>
    <row r="918" spans="1:6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</row>
    <row r="919" spans="1:6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</row>
    <row r="920" spans="1:6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</row>
    <row r="921" spans="1:6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</row>
    <row r="922" spans="1:6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</row>
    <row r="923" spans="1:6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</row>
    <row r="924" spans="1:6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</row>
    <row r="925" spans="1:6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</row>
    <row r="926" spans="1:6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</row>
    <row r="927" spans="1:6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</row>
    <row r="928" spans="1:6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</row>
    <row r="929" spans="1:6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</row>
    <row r="930" spans="1:6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</row>
    <row r="931" spans="1:6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</row>
    <row r="932" spans="1:6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</row>
    <row r="933" spans="1:6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</row>
    <row r="934" spans="1:6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</row>
    <row r="935" spans="1:6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</row>
    <row r="936" spans="1:6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</row>
    <row r="937" spans="1:6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</row>
    <row r="938" spans="1:6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</row>
    <row r="939" spans="1:6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</row>
    <row r="940" spans="1:6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</row>
    <row r="941" spans="1:6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</row>
    <row r="942" spans="1:6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</row>
    <row r="943" spans="1:6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</row>
    <row r="944" spans="1:6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</row>
    <row r="945" spans="1:6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</row>
    <row r="946" spans="1:6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</row>
    <row r="947" spans="1:6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</row>
    <row r="948" spans="1:6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</row>
    <row r="949" spans="1:6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</row>
    <row r="950" spans="1:6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</row>
    <row r="951" spans="1:6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</row>
    <row r="952" spans="1:6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</row>
    <row r="953" spans="1:6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</row>
    <row r="954" spans="1:6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</row>
    <row r="955" spans="1:6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</row>
    <row r="956" spans="1:6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</row>
    <row r="957" spans="1:6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</row>
    <row r="958" spans="1:6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</row>
    <row r="959" spans="1:6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</row>
    <row r="960" spans="1:6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</row>
    <row r="961" spans="1:6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</row>
    <row r="962" spans="1:6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</row>
    <row r="963" spans="1:6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</row>
    <row r="964" spans="1:6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</row>
    <row r="965" spans="1:6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</row>
    <row r="966" spans="1:6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</row>
    <row r="967" spans="1:6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</row>
    <row r="968" spans="1:6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</row>
    <row r="969" spans="1:6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</row>
    <row r="970" spans="1:6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</row>
    <row r="971" spans="1:6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</row>
    <row r="972" spans="1:6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</row>
    <row r="973" spans="1:6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</row>
    <row r="974" spans="1:6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</row>
    <row r="975" spans="1:6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</row>
    <row r="976" spans="1:6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</row>
    <row r="977" spans="1:6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</row>
    <row r="978" spans="1:6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</row>
    <row r="979" spans="1:6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</row>
    <row r="980" spans="1:6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</row>
    <row r="981" spans="1:6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</row>
    <row r="982" spans="1:6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</row>
    <row r="983" spans="1:6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</row>
    <row r="984" spans="1:6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</row>
    <row r="985" spans="1:6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</row>
    <row r="986" spans="1:6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</row>
    <row r="987" spans="1:6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</row>
    <row r="988" spans="1:6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</row>
    <row r="989" spans="1:6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</row>
    <row r="990" spans="1:6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</row>
    <row r="991" spans="1:6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</row>
    <row r="992" spans="1:6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</row>
    <row r="993" spans="1:6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</row>
    <row r="994" spans="1:6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</row>
    <row r="995" spans="1:6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</row>
    <row r="996" spans="1:6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</row>
    <row r="997" spans="1:6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</row>
    <row r="998" spans="1:6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</row>
    <row r="999" spans="1:6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</row>
    <row r="1000" spans="1:6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238099AB0DC94AB83FFDE969EF5B92" ma:contentTypeVersion="15" ma:contentTypeDescription="Create a new document." ma:contentTypeScope="" ma:versionID="10a32bed9523cc3179ea6acfad34ef01">
  <xsd:schema xmlns:xsd="http://www.w3.org/2001/XMLSchema" xmlns:xs="http://www.w3.org/2001/XMLSchema" xmlns:p="http://schemas.microsoft.com/office/2006/metadata/properties" xmlns:ns2="9073377b-7277-40f3-9b5a-c96146fd9324" xmlns:ns3="5f651903-a08d-4b5c-96dc-3d3b198fcb4f" xmlns:ns4="00737887-85a8-475d-9de9-2ccf152b9160" targetNamespace="http://schemas.microsoft.com/office/2006/metadata/properties" ma:root="true" ma:fieldsID="a479fa9bc31d17e289a5ae96472d80ba" ns2:_="" ns3:_="" ns4:_="">
    <xsd:import namespace="9073377b-7277-40f3-9b5a-c96146fd9324"/>
    <xsd:import namespace="5f651903-a08d-4b5c-96dc-3d3b198fcb4f"/>
    <xsd:import namespace="00737887-85a8-475d-9de9-2ccf152b9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3377b-7277-40f3-9b5a-c96146fd9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4b455e0-b80a-4288-8e63-5b21153936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51903-a08d-4b5c-96dc-3d3b198fc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37887-85a8-475d-9de9-2ccf152b916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e05e0bf-8d22-4f97-bdaa-e3073af84263}" ma:internalName="TaxCatchAll" ma:showField="CatchAllData" ma:web="00737887-85a8-475d-9de9-2ccf152b9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73377b-7277-40f3-9b5a-c96146fd9324">
      <Terms xmlns="http://schemas.microsoft.com/office/infopath/2007/PartnerControls"/>
    </lcf76f155ced4ddcb4097134ff3c332f>
    <TaxCatchAll xmlns="00737887-85a8-475d-9de9-2ccf152b9160" xsi:nil="true"/>
  </documentManagement>
</p:properties>
</file>

<file path=customXml/itemProps1.xml><?xml version="1.0" encoding="utf-8"?>
<ds:datastoreItem xmlns:ds="http://schemas.openxmlformats.org/officeDocument/2006/customXml" ds:itemID="{E42E855E-C52C-4D5C-952D-D8E27D201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3377b-7277-40f3-9b5a-c96146fd9324"/>
    <ds:schemaRef ds:uri="5f651903-a08d-4b5c-96dc-3d3b198fcb4f"/>
    <ds:schemaRef ds:uri="00737887-85a8-475d-9de9-2ccf152b91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8183F5-D3F6-4707-8695-24BFB70D3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0D10C-6388-4A4E-8FA6-B81D8CCBE166}">
  <ds:schemaRefs>
    <ds:schemaRef ds:uri="http://schemas.microsoft.com/office/2006/metadata/properties"/>
    <ds:schemaRef ds:uri="http://schemas.microsoft.com/office/infopath/2007/PartnerControls"/>
    <ds:schemaRef ds:uri="9073377b-7277-40f3-9b5a-c96146fd9324"/>
    <ds:schemaRef ds:uri="00737887-85a8-475d-9de9-2ccf152b91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Beautynet Offer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Helen Green</cp:lastModifiedBy>
  <dcterms:created xsi:type="dcterms:W3CDTF">2026-07-27T09:04:56Z</dcterms:created>
  <dcterms:modified xsi:type="dcterms:W3CDTF">2026-07-27T12:05:39Z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0x010100A3238099AB0DC94AB83FFDE969EF5B92</vt:lpwstr>
  </property>
  <property fmtid="{D5CDD505-2E9C-101B-9397-08002B2CF9AE}" pid="3" name="MediaServiceImageTags">
    <vt:lpwstr/>
  </property>
</Properties>
</file>