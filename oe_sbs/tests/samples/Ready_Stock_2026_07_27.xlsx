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40982228e799b0/Desktop/"/>
    </mc:Choice>
  </mc:AlternateContent>
  <xr:revisionPtr revIDLastSave="28" documentId="13_ncr:1_{C97AC122-BE44-46BC-B7AB-F5DBB1A90AE9}" xr6:coauthVersionLast="47" xr6:coauthVersionMax="47" xr10:uidLastSave="{AEAE130E-79E7-4F14-985A-CD22B40BF45C}"/>
  <bookViews>
    <workbookView xWindow="-120" yWindow="-120" windowWidth="29040" windowHeight="15720" xr2:uid="{00000000-000D-0000-FFFF-FFFF00000000}"/>
  </bookViews>
  <sheets>
    <sheet name="Ready Stock" sheetId="3" r:id="rId1"/>
  </sheets>
  <definedNames>
    <definedName name="_xlnm._FilterDatabase" localSheetId="0" hidden="1">'Ready Stock'!$A$10:$J$689</definedName>
    <definedName name="_xlnm.Print_Area" localSheetId="0">'Ready Stock'!$B:$H</definedName>
    <definedName name="_xlnm.Print_Titles" localSheetId="0">'Ready Stock'!$10:$10</definedName>
  </definedNames>
  <calcPr calcId="181029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04" i="3" l="1"/>
  <c r="F130" i="3"/>
  <c r="F633" i="3"/>
  <c r="F202" i="3"/>
  <c r="F129" i="3"/>
  <c r="F95" i="3"/>
  <c r="F602" i="3"/>
  <c r="F125" i="3"/>
  <c r="F149" i="3"/>
  <c r="F126" i="3"/>
  <c r="F93" i="3"/>
  <c r="F650" i="3"/>
  <c r="F356" i="3"/>
  <c r="F161" i="3"/>
  <c r="F330" i="3"/>
  <c r="F642" i="3"/>
  <c r="F150" i="3"/>
  <c r="F204" i="3"/>
  <c r="F350" i="3"/>
  <c r="F151" i="3"/>
  <c r="F343" i="3"/>
  <c r="F400" i="3"/>
  <c r="F337" i="3"/>
  <c r="F338" i="3"/>
  <c r="F220" i="3"/>
  <c r="F408" i="3"/>
  <c r="F403" i="3"/>
  <c r="F365" i="3"/>
  <c r="F364" i="3"/>
  <c r="F361" i="3"/>
  <c r="F127" i="3"/>
  <c r="H150" i="3"/>
  <c r="I375" i="3"/>
  <c r="I41" i="3"/>
  <c r="H166" i="3"/>
  <c r="I164" i="3"/>
  <c r="I147" i="3"/>
  <c r="H186" i="3"/>
  <c r="H179" i="3"/>
  <c r="H198" i="3"/>
  <c r="I207" i="3"/>
  <c r="I278" i="3"/>
  <c r="I290" i="3"/>
  <c r="H321" i="3"/>
  <c r="I373" i="3"/>
  <c r="H351" i="3"/>
  <c r="H355" i="3"/>
  <c r="I492" i="3"/>
  <c r="H510" i="3"/>
  <c r="H545" i="3"/>
  <c r="H543" i="3"/>
  <c r="H607" i="3"/>
  <c r="H628" i="3"/>
  <c r="H620" i="3"/>
  <c r="H619" i="3"/>
  <c r="H630" i="3"/>
  <c r="H625" i="3"/>
  <c r="H626" i="3"/>
  <c r="I631" i="3"/>
  <c r="I624" i="3"/>
  <c r="H656" i="3"/>
  <c r="I32" i="3"/>
  <c r="I72" i="3"/>
  <c r="H59" i="3"/>
  <c r="I57" i="3"/>
  <c r="H75" i="3"/>
  <c r="H56" i="3"/>
  <c r="I43" i="3"/>
  <c r="H62" i="3"/>
  <c r="H60" i="3"/>
  <c r="H61" i="3"/>
  <c r="H86" i="3"/>
  <c r="H83" i="3"/>
  <c r="I84" i="3"/>
  <c r="I85" i="3"/>
  <c r="H183" i="3"/>
  <c r="H232" i="3"/>
  <c r="H236" i="3"/>
  <c r="H240" i="3"/>
  <c r="H254" i="3"/>
  <c r="H263" i="3"/>
  <c r="H249" i="3"/>
  <c r="I448" i="3"/>
  <c r="H470" i="3"/>
  <c r="H471" i="3"/>
  <c r="I472" i="3"/>
  <c r="I469" i="3"/>
  <c r="H482" i="3"/>
  <c r="I484" i="3"/>
  <c r="H483" i="3"/>
  <c r="H478" i="3"/>
  <c r="H480" i="3"/>
  <c r="H481" i="3"/>
  <c r="I477" i="3"/>
  <c r="H596" i="3"/>
  <c r="I597" i="3"/>
  <c r="H623" i="3"/>
  <c r="H622" i="3"/>
  <c r="I621" i="3"/>
  <c r="H627" i="3"/>
  <c r="I639" i="3"/>
  <c r="H647" i="3"/>
  <c r="I660" i="3"/>
  <c r="I661" i="3"/>
  <c r="I652" i="3"/>
  <c r="H653" i="3"/>
  <c r="H479" i="3"/>
  <c r="I479" i="3"/>
  <c r="H485" i="3"/>
  <c r="I485" i="3"/>
  <c r="H390" i="3"/>
  <c r="I501" i="3"/>
  <c r="H670" i="3"/>
  <c r="H659" i="3"/>
  <c r="H48" i="3"/>
  <c r="H200" i="3"/>
  <c r="I211" i="3"/>
  <c r="H383" i="3"/>
  <c r="H384" i="3"/>
  <c r="I615" i="3"/>
  <c r="H616" i="3"/>
  <c r="H226" i="3"/>
  <c r="I254" i="3"/>
  <c r="I502" i="3"/>
  <c r="I654" i="3"/>
  <c r="I349" i="3"/>
  <c r="I48" i="3"/>
  <c r="H342" i="3"/>
  <c r="I342" i="3"/>
  <c r="I623" i="3" l="1"/>
  <c r="I596" i="3"/>
  <c r="I620" i="3"/>
  <c r="H597" i="3"/>
  <c r="I653" i="3"/>
  <c r="H57" i="3"/>
  <c r="I482" i="3"/>
  <c r="H661" i="3"/>
  <c r="H373" i="3"/>
  <c r="H624" i="3"/>
  <c r="I630" i="3"/>
  <c r="H660" i="3"/>
  <c r="I483" i="3"/>
  <c r="I647" i="3"/>
  <c r="I619" i="3"/>
  <c r="H652" i="3"/>
  <c r="H469" i="3"/>
  <c r="H484" i="3"/>
  <c r="I471" i="3"/>
  <c r="I61" i="3"/>
  <c r="H472" i="3"/>
  <c r="H639" i="3"/>
  <c r="I627" i="3"/>
  <c r="H477" i="3"/>
  <c r="I480" i="3"/>
  <c r="H621" i="3"/>
  <c r="H84" i="3"/>
  <c r="H85" i="3"/>
  <c r="I622" i="3"/>
  <c r="I478" i="3"/>
  <c r="I481" i="3"/>
  <c r="I355" i="3"/>
  <c r="H375" i="3"/>
  <c r="I543" i="3"/>
  <c r="I240" i="3"/>
  <c r="I249" i="3"/>
  <c r="I626" i="3"/>
  <c r="I263" i="3"/>
  <c r="I236" i="3"/>
  <c r="I625" i="3"/>
  <c r="H615" i="3"/>
  <c r="I56" i="3"/>
  <c r="I226" i="3"/>
  <c r="I607" i="3"/>
  <c r="H631" i="3"/>
  <c r="I470" i="3"/>
  <c r="I628" i="3"/>
  <c r="I232" i="3"/>
  <c r="I183" i="3"/>
  <c r="I616" i="3"/>
  <c r="H448" i="3"/>
  <c r="H290" i="3"/>
  <c r="I59" i="3"/>
  <c r="I659" i="3"/>
  <c r="H164" i="3"/>
  <c r="H32" i="3"/>
  <c r="I166" i="3"/>
  <c r="I351" i="3"/>
  <c r="I670" i="3"/>
  <c r="H278" i="3"/>
  <c r="H654" i="3"/>
  <c r="H349" i="3"/>
  <c r="H41" i="3"/>
  <c r="H43" i="3"/>
  <c r="H72" i="3"/>
  <c r="I383" i="3"/>
  <c r="I656" i="3"/>
  <c r="I60" i="3"/>
  <c r="I83" i="3"/>
  <c r="H501" i="3"/>
  <c r="I321" i="3"/>
  <c r="I86" i="3"/>
  <c r="I75" i="3"/>
  <c r="I62" i="3"/>
  <c r="I384" i="3"/>
  <c r="H502" i="3"/>
  <c r="H211" i="3"/>
  <c r="I198" i="3"/>
  <c r="H147" i="3"/>
  <c r="I186" i="3"/>
  <c r="I179" i="3"/>
  <c r="I200" i="3"/>
  <c r="I545" i="3"/>
  <c r="H492" i="3"/>
  <c r="H207" i="3"/>
  <c r="I150" i="3"/>
  <c r="I510" i="3"/>
  <c r="I390" i="3"/>
  <c r="H159" i="3"/>
  <c r="H415" i="3"/>
  <c r="I136" i="3"/>
  <c r="H576" i="3"/>
  <c r="I288" i="3"/>
  <c r="H101" i="3"/>
  <c r="H114" i="3"/>
  <c r="I121" i="3"/>
  <c r="H199" i="3"/>
  <c r="H218" i="3"/>
  <c r="H380" i="3"/>
  <c r="H578" i="3"/>
  <c r="H190" i="3"/>
  <c r="H152" i="3"/>
  <c r="I368" i="3"/>
  <c r="I580" i="3"/>
  <c r="H689" i="3"/>
  <c r="H475" i="3"/>
  <c r="I248" i="3"/>
  <c r="H309" i="3"/>
  <c r="H425" i="3"/>
  <c r="H155" i="3"/>
  <c r="H12" i="3"/>
  <c r="H330" i="3"/>
  <c r="I102" i="3"/>
  <c r="H307" i="3"/>
  <c r="I420" i="3"/>
  <c r="H688" i="3"/>
  <c r="H658" i="3"/>
  <c r="H69" i="3"/>
  <c r="H378" i="3"/>
  <c r="H333" i="3"/>
  <c r="H414" i="3"/>
  <c r="I587" i="3"/>
  <c r="H461" i="3"/>
  <c r="H457" i="3"/>
  <c r="H454" i="3"/>
  <c r="H539" i="3"/>
  <c r="H529" i="3"/>
  <c r="I264" i="3"/>
  <c r="H462" i="3"/>
  <c r="I303" i="3"/>
  <c r="H585" i="3"/>
  <c r="H430" i="3"/>
  <c r="H507" i="3"/>
  <c r="H648" i="3"/>
  <c r="H182" i="3"/>
  <c r="H490" i="3"/>
  <c r="I104" i="3"/>
  <c r="H217" i="3"/>
  <c r="H287" i="3"/>
  <c r="I283" i="3"/>
  <c r="H308" i="3"/>
  <c r="H677" i="3"/>
  <c r="H255" i="3"/>
  <c r="H266" i="3"/>
  <c r="H657" i="3"/>
  <c r="H293" i="3"/>
  <c r="H312" i="3"/>
  <c r="H499" i="3"/>
  <c r="I365" i="3"/>
  <c r="I563" i="3"/>
  <c r="H261" i="3"/>
  <c r="H556" i="3"/>
  <c r="H192" i="3"/>
  <c r="H673" i="3"/>
  <c r="I67" i="3"/>
  <c r="H675" i="3"/>
  <c r="H546" i="3"/>
  <c r="H53" i="3"/>
  <c r="H674" i="3"/>
  <c r="H524" i="3"/>
  <c r="I122" i="3"/>
  <c r="H111" i="3"/>
  <c r="H650" i="3"/>
  <c r="H92" i="3"/>
  <c r="H170" i="3"/>
  <c r="I260" i="3"/>
  <c r="H256" i="3"/>
  <c r="I80" i="3"/>
  <c r="H119" i="3"/>
  <c r="I678" i="3"/>
  <c r="H587" i="3" l="1"/>
  <c r="I499" i="3"/>
  <c r="I475" i="3"/>
  <c r="I689" i="3"/>
  <c r="I414" i="3"/>
  <c r="I330" i="3"/>
  <c r="H67" i="3"/>
  <c r="I462" i="3"/>
  <c r="I539" i="3"/>
  <c r="I658" i="3"/>
  <c r="I675" i="3"/>
  <c r="I507" i="3"/>
  <c r="I576" i="3"/>
  <c r="I454" i="3"/>
  <c r="I12" i="3"/>
  <c r="I378" i="3"/>
  <c r="H303" i="3"/>
  <c r="I69" i="3"/>
  <c r="I457" i="3"/>
  <c r="I578" i="3"/>
  <c r="I461" i="3"/>
  <c r="I430" i="3"/>
  <c r="I333" i="3"/>
  <c r="I648" i="3"/>
  <c r="I524" i="3"/>
  <c r="I312" i="3"/>
  <c r="I674" i="3"/>
  <c r="I529" i="3"/>
  <c r="I256" i="3"/>
  <c r="I266" i="3"/>
  <c r="H260" i="3"/>
  <c r="I192" i="3"/>
  <c r="H264" i="3"/>
  <c r="I255" i="3"/>
  <c r="I657" i="3"/>
  <c r="I688" i="3"/>
  <c r="I309" i="3"/>
  <c r="H368" i="3"/>
  <c r="H580" i="3"/>
  <c r="H288" i="3"/>
  <c r="I159" i="3"/>
  <c r="H365" i="3"/>
  <c r="I92" i="3"/>
  <c r="H283" i="3"/>
  <c r="I307" i="3"/>
  <c r="I380" i="3"/>
  <c r="I170" i="3"/>
  <c r="I111" i="3"/>
  <c r="I415" i="3"/>
  <c r="H563" i="3"/>
  <c r="H136" i="3"/>
  <c r="I114" i="3"/>
  <c r="H80" i="3"/>
  <c r="I190" i="3"/>
  <c r="I199" i="3"/>
  <c r="I287" i="3"/>
  <c r="H122" i="3"/>
  <c r="I53" i="3"/>
  <c r="H121" i="3"/>
  <c r="I217" i="3"/>
  <c r="I182" i="3"/>
  <c r="I119" i="3"/>
  <c r="H104" i="3"/>
  <c r="I546" i="3"/>
  <c r="H420" i="3"/>
  <c r="I425" i="3"/>
  <c r="H678" i="3"/>
  <c r="I155" i="3"/>
  <c r="I490" i="3"/>
  <c r="I101" i="3"/>
  <c r="I677" i="3"/>
  <c r="I673" i="3"/>
  <c r="I261" i="3"/>
  <c r="I293" i="3"/>
  <c r="I585" i="3"/>
  <c r="I650" i="3"/>
  <c r="I556" i="3"/>
  <c r="H102" i="3"/>
  <c r="I218" i="3"/>
  <c r="I308" i="3"/>
  <c r="H248" i="3"/>
  <c r="I152" i="3"/>
  <c r="H561" i="3"/>
  <c r="H513" i="3"/>
  <c r="H300" i="3"/>
  <c r="H143" i="3"/>
  <c r="I228" i="3"/>
  <c r="H246" i="3"/>
  <c r="H336" i="3"/>
  <c r="H416" i="3"/>
  <c r="H242" i="3"/>
  <c r="H610" i="3"/>
  <c r="H239" i="3"/>
  <c r="H504" i="3"/>
  <c r="H560" i="3"/>
  <c r="H30" i="3"/>
  <c r="H446" i="3"/>
  <c r="H671" i="3"/>
  <c r="H230" i="3"/>
  <c r="I586" i="3"/>
  <c r="I392" i="3"/>
  <c r="H574" i="3"/>
  <c r="H441" i="3"/>
  <c r="H445" i="3"/>
  <c r="H195" i="3"/>
  <c r="H209" i="3"/>
  <c r="I241" i="3"/>
  <c r="H514" i="3"/>
  <c r="H315" i="3"/>
  <c r="H54" i="3"/>
  <c r="H474" i="3"/>
  <c r="H107" i="3"/>
  <c r="H458" i="3"/>
  <c r="I344" i="3"/>
  <c r="H668" i="3"/>
  <c r="H294" i="3"/>
  <c r="H20" i="3"/>
  <c r="H583" i="3"/>
  <c r="I267" i="3"/>
  <c r="H686" i="3"/>
  <c r="H429" i="3"/>
  <c r="H110" i="3"/>
  <c r="H372" i="3"/>
  <c r="H463" i="3"/>
  <c r="H374" i="3"/>
  <c r="H636" i="3"/>
  <c r="H687" i="3"/>
  <c r="I40" i="3"/>
  <c r="H37" i="3"/>
  <c r="H629" i="3"/>
  <c r="H26" i="3"/>
  <c r="H681" i="3"/>
  <c r="H51" i="3"/>
  <c r="H651" i="3"/>
  <c r="H503" i="3"/>
  <c r="H541" i="3"/>
  <c r="H46" i="3"/>
  <c r="H212" i="3"/>
  <c r="H196" i="3"/>
  <c r="I676" i="3"/>
  <c r="H172" i="3"/>
  <c r="H443" i="3"/>
  <c r="H91" i="3"/>
  <c r="H535" i="3"/>
  <c r="H343" i="3"/>
  <c r="H527" i="3"/>
  <c r="H178" i="3"/>
  <c r="I377" i="3"/>
  <c r="H324" i="3"/>
  <c r="H222" i="3"/>
  <c r="H227" i="3"/>
  <c r="H89" i="3"/>
  <c r="H44" i="3"/>
  <c r="H47" i="3"/>
  <c r="H210" i="3"/>
  <c r="H27" i="3"/>
  <c r="H566" i="3"/>
  <c r="H65" i="3"/>
  <c r="H567" i="3"/>
  <c r="H609" i="3"/>
  <c r="H158" i="3"/>
  <c r="H582" i="3"/>
  <c r="H225" i="3"/>
  <c r="H97" i="3"/>
  <c r="I318" i="3"/>
  <c r="H467" i="3"/>
  <c r="H590" i="3"/>
  <c r="H131" i="3"/>
  <c r="H348" i="3"/>
  <c r="H169" i="3"/>
  <c r="H663" i="3"/>
  <c r="H175" i="3"/>
  <c r="H401" i="3"/>
  <c r="H584" i="3"/>
  <c r="H506" i="3"/>
  <c r="H516" i="3"/>
  <c r="H185" i="3"/>
  <c r="H50" i="3"/>
  <c r="H21" i="3"/>
  <c r="H224" i="3"/>
  <c r="H517" i="3"/>
  <c r="H519" i="3"/>
  <c r="H371" i="3"/>
  <c r="H412" i="3"/>
  <c r="H191" i="3"/>
  <c r="H262" i="3"/>
  <c r="H292" i="3"/>
  <c r="H593" i="3"/>
  <c r="H346" i="3"/>
  <c r="H203" i="3"/>
  <c r="H320" i="3"/>
  <c r="H571" i="3"/>
  <c r="H487" i="3"/>
  <c r="H395" i="3"/>
  <c r="H525" i="3"/>
  <c r="H325" i="3"/>
  <c r="H552" i="3"/>
  <c r="H387" i="3"/>
  <c r="H468" i="3"/>
  <c r="H396" i="3"/>
  <c r="I438" i="3"/>
  <c r="H553" i="3"/>
  <c r="H141" i="3"/>
  <c r="H70" i="3"/>
  <c r="H112" i="3"/>
  <c r="H301" i="3"/>
  <c r="H606" i="3"/>
  <c r="H33" i="3"/>
  <c r="H78" i="3"/>
  <c r="H417" i="3"/>
  <c r="H456" i="3"/>
  <c r="H250" i="3"/>
  <c r="H14" i="3"/>
  <c r="H64" i="3"/>
  <c r="H645" i="3"/>
  <c r="I559" i="3"/>
  <c r="I274" i="3"/>
  <c r="H93" i="3"/>
  <c r="H568" i="3"/>
  <c r="H618" i="3"/>
  <c r="H273" i="3"/>
  <c r="H134" i="3"/>
  <c r="H96" i="3"/>
  <c r="H508" i="3"/>
  <c r="H335" i="3"/>
  <c r="H409" i="3"/>
  <c r="H685" i="3"/>
  <c r="H298" i="3"/>
  <c r="H538" i="3"/>
  <c r="H213" i="3"/>
  <c r="H399" i="3"/>
  <c r="H237" i="3"/>
  <c r="H221" i="3"/>
  <c r="H25" i="3"/>
  <c r="H523" i="3"/>
  <c r="H251" i="3"/>
  <c r="H94" i="3"/>
  <c r="H168" i="3"/>
  <c r="H352" i="3"/>
  <c r="H339" i="3"/>
  <c r="H167" i="3"/>
  <c r="H284" i="3"/>
  <c r="H564" i="3"/>
  <c r="H252" i="3"/>
  <c r="H495" i="3"/>
  <c r="H214" i="3"/>
  <c r="H680" i="3"/>
  <c r="H408" i="3"/>
  <c r="H295" i="3"/>
  <c r="H286" i="3"/>
  <c r="H220" i="3"/>
  <c r="H575" i="3"/>
  <c r="H99" i="3"/>
  <c r="H505" i="3"/>
  <c r="H682" i="3"/>
  <c r="H599" i="3"/>
  <c r="H123" i="3"/>
  <c r="H520" i="3"/>
  <c r="H148" i="3"/>
  <c r="H398" i="3"/>
  <c r="H216" i="3"/>
  <c r="H423" i="3"/>
  <c r="H109" i="3"/>
  <c r="I466" i="3"/>
  <c r="H139" i="3"/>
  <c r="H87" i="3"/>
  <c r="H316" i="3"/>
  <c r="H345" i="3"/>
  <c r="H555" i="3"/>
  <c r="H436" i="3"/>
  <c r="H329" i="3"/>
  <c r="H38" i="3"/>
  <c r="H598" i="3"/>
  <c r="H35" i="3"/>
  <c r="H386" i="3"/>
  <c r="H296" i="3"/>
  <c r="H299" i="3"/>
  <c r="H418" i="3"/>
  <c r="H391" i="3"/>
  <c r="H177" i="3"/>
  <c r="I305" i="3"/>
  <c r="H149" i="3"/>
  <c r="H317" i="3"/>
  <c r="H189" i="3"/>
  <c r="H548" i="3"/>
  <c r="H603" i="3"/>
  <c r="H665" i="3"/>
  <c r="H229" i="3"/>
  <c r="H157" i="3"/>
  <c r="H275" i="3"/>
  <c r="H234" i="3"/>
  <c r="H643" i="3"/>
  <c r="H55" i="3"/>
  <c r="H176" i="3"/>
  <c r="H144" i="3"/>
  <c r="H612" i="3"/>
  <c r="H662" i="3"/>
  <c r="H605" i="3"/>
  <c r="H124" i="3"/>
  <c r="H328" i="3"/>
  <c r="H403" i="3"/>
  <c r="H536" i="3"/>
  <c r="H476" i="3"/>
  <c r="H161" i="3"/>
  <c r="H633" i="3"/>
  <c r="H410" i="3"/>
  <c r="H581" i="3"/>
  <c r="I137" i="3"/>
  <c r="H611" i="3"/>
  <c r="H381" i="3"/>
  <c r="H422" i="3"/>
  <c r="H515" i="3"/>
  <c r="H52" i="3"/>
  <c r="H34" i="3"/>
  <c r="H570" i="3"/>
  <c r="I533" i="3"/>
  <c r="I550" i="3"/>
  <c r="H496" i="3"/>
  <c r="H447" i="3"/>
  <c r="H452" i="3"/>
  <c r="H341" i="3"/>
  <c r="H379" i="3"/>
  <c r="H253" i="3"/>
  <c r="H310" i="3"/>
  <c r="H366" i="3"/>
  <c r="H437" i="3"/>
  <c r="H489" i="3"/>
  <c r="H442" i="3"/>
  <c r="H393" i="3"/>
  <c r="H353" i="3"/>
  <c r="H71" i="3"/>
  <c r="H115" i="3"/>
  <c r="H235" i="3"/>
  <c r="H358" i="3"/>
  <c r="H544" i="3"/>
  <c r="H165" i="3"/>
  <c r="I357" i="3"/>
  <c r="I521" i="3"/>
  <c r="I140" i="3"/>
  <c r="I174" i="3"/>
  <c r="I494" i="3"/>
  <c r="H511" i="3"/>
  <c r="I82" i="3"/>
  <c r="H272" i="3"/>
  <c r="H18" i="3"/>
  <c r="H19" i="3"/>
  <c r="H22" i="3"/>
  <c r="H271" i="3"/>
  <c r="H304" i="3"/>
  <c r="H385" i="3"/>
  <c r="H565" i="3"/>
  <c r="H297" i="3"/>
  <c r="I404" i="3"/>
  <c r="H557" i="3"/>
  <c r="H532" i="3"/>
  <c r="H277" i="3"/>
  <c r="H664" i="3"/>
  <c r="H105" i="3"/>
  <c r="H376" i="3"/>
  <c r="H130" i="3"/>
  <c r="H635" i="3"/>
  <c r="H58" i="3"/>
  <c r="H156" i="3"/>
  <c r="H153" i="3"/>
  <c r="H281" i="3"/>
  <c r="H439" i="3"/>
  <c r="H269" i="3"/>
  <c r="H81" i="3"/>
  <c r="H201" i="3"/>
  <c r="H428" i="3"/>
  <c r="H389" i="3"/>
  <c r="H435" i="3"/>
  <c r="I13" i="3"/>
  <c r="I118" i="3"/>
  <c r="I530" i="3"/>
  <c r="H655" i="3"/>
  <c r="H68" i="3"/>
  <c r="I247" i="3"/>
  <c r="H498" i="3"/>
  <c r="H537" i="3"/>
  <c r="H66" i="3"/>
  <c r="H11" i="3"/>
  <c r="H126" i="3"/>
  <c r="H388" i="3"/>
  <c r="H29" i="3"/>
  <c r="H323" i="3"/>
  <c r="H208" i="3"/>
  <c r="H451" i="3"/>
  <c r="H45" i="3"/>
  <c r="H491" i="3"/>
  <c r="H444" i="3"/>
  <c r="H592" i="3"/>
  <c r="H440" i="3"/>
  <c r="H640" i="3"/>
  <c r="H132" i="3"/>
  <c r="H28" i="3"/>
  <c r="H259" i="3"/>
  <c r="H347" i="3"/>
  <c r="H397" i="3"/>
  <c r="H465" i="3"/>
  <c r="I39" i="3"/>
  <c r="H455" i="3"/>
  <c r="H459" i="3"/>
  <c r="H500" i="3"/>
  <c r="H547" i="3"/>
  <c r="H453" i="3"/>
  <c r="H73" i="3"/>
  <c r="H77" i="3"/>
  <c r="I79" i="3"/>
  <c r="H672" i="3"/>
  <c r="I171" i="3"/>
  <c r="H76" i="3"/>
  <c r="I642" i="3"/>
  <c r="H116" i="3"/>
  <c r="H617" i="3"/>
  <c r="H426" i="3"/>
  <c r="H364" i="3"/>
  <c r="H406" i="3"/>
  <c r="H180" i="3"/>
  <c r="H326" i="3"/>
  <c r="H265" i="3"/>
  <c r="H268" i="3"/>
  <c r="I88" i="3"/>
  <c r="H644" i="3"/>
  <c r="I359" i="3"/>
  <c r="H594" i="3"/>
  <c r="I279" i="3"/>
  <c r="I551" i="3"/>
  <c r="H419" i="3"/>
  <c r="H449" i="3"/>
  <c r="H205" i="3"/>
  <c r="H542" i="3"/>
  <c r="H181" i="3"/>
  <c r="H160" i="3"/>
  <c r="H613" i="3"/>
  <c r="H522" i="3"/>
  <c r="H400" i="3"/>
  <c r="H219" i="3"/>
  <c r="H311" i="3"/>
  <c r="H405" i="3"/>
  <c r="H163" i="3"/>
  <c r="H322" i="3"/>
  <c r="H338" i="3"/>
  <c r="H528" i="3"/>
  <c r="H16" i="3"/>
  <c r="H337" i="3"/>
  <c r="H361" i="3"/>
  <c r="H17" i="3"/>
  <c r="H370" i="3"/>
  <c r="H90" i="3"/>
  <c r="I549" i="3"/>
  <c r="I15" i="3"/>
  <c r="H125" i="3"/>
  <c r="H666" i="3"/>
  <c r="H113" i="3"/>
  <c r="I31" i="3"/>
  <c r="I579" i="3"/>
  <c r="H614" i="3"/>
  <c r="H106" i="3"/>
  <c r="H601" i="3"/>
  <c r="H135" i="3"/>
  <c r="H108" i="3"/>
  <c r="H233" i="3"/>
  <c r="H319" i="3"/>
  <c r="I589" i="3"/>
  <c r="I142" i="3"/>
  <c r="I486" i="3"/>
  <c r="I231" i="3"/>
  <c r="I362" i="3"/>
  <c r="I193" i="3"/>
  <c r="I36" i="3"/>
  <c r="I450" i="3"/>
  <c r="I95" i="3"/>
  <c r="H98" i="3"/>
  <c r="H238" i="3"/>
  <c r="H138" i="3"/>
  <c r="I154" i="3"/>
  <c r="H572" i="3"/>
  <c r="H129" i="3"/>
  <c r="I667" i="3"/>
  <c r="H512" i="3"/>
  <c r="I340" i="3"/>
  <c r="H424" i="3"/>
  <c r="H327" i="3"/>
  <c r="I327" i="3"/>
  <c r="H15" i="3"/>
  <c r="I125" i="3"/>
  <c r="H49" i="3"/>
  <c r="I49" i="3"/>
  <c r="H36" i="3"/>
  <c r="H340" i="3"/>
  <c r="H282" i="3"/>
  <c r="I282" i="3"/>
  <c r="H257" i="3"/>
  <c r="H197" i="3"/>
  <c r="H431" i="3"/>
  <c r="H202" i="3"/>
  <c r="H433" i="3"/>
  <c r="H128" i="3"/>
  <c r="H151" i="3"/>
  <c r="H350" i="3"/>
  <c r="I100" i="3"/>
  <c r="H360" i="3"/>
  <c r="H427" i="3"/>
  <c r="H509" i="3"/>
  <c r="H554" i="3"/>
  <c r="H382" i="3"/>
  <c r="H684" i="3"/>
  <c r="I74" i="3"/>
  <c r="I394" i="3"/>
  <c r="H558" i="3"/>
  <c r="H63" i="3"/>
  <c r="H411" i="3"/>
  <c r="H314" i="3"/>
  <c r="H215" i="3"/>
  <c r="H531" i="3"/>
  <c r="H23" i="3"/>
  <c r="H367" i="3"/>
  <c r="I245" i="3"/>
  <c r="H369" i="3"/>
  <c r="I276" i="3"/>
  <c r="H562" i="3"/>
  <c r="H634" i="3"/>
  <c r="H526" i="3"/>
  <c r="H602" i="3"/>
  <c r="H432" i="3"/>
  <c r="I120" i="3"/>
  <c r="H604" i="3"/>
  <c r="H187" i="3"/>
  <c r="H363" i="3"/>
  <c r="H493" i="3"/>
  <c r="H608" i="3"/>
  <c r="H204" i="3"/>
  <c r="H407" i="3"/>
  <c r="H243" i="3"/>
  <c r="I258" i="3"/>
  <c r="H188" i="3"/>
  <c r="H591" i="3"/>
  <c r="H632" i="3"/>
  <c r="I573" i="3"/>
  <c r="H184" i="3"/>
  <c r="H244" i="3"/>
  <c r="H291" i="3"/>
  <c r="I600" i="3"/>
  <c r="H117" i="3"/>
  <c r="H588" i="3"/>
  <c r="H173" i="3"/>
  <c r="H669" i="3"/>
  <c r="I669" i="3"/>
  <c r="H140" i="3"/>
  <c r="H638" i="3"/>
  <c r="H488" i="3"/>
  <c r="H146" i="3"/>
  <c r="H540" i="3"/>
  <c r="H413" i="3"/>
  <c r="H206" i="3"/>
  <c r="H646" i="3"/>
  <c r="H24" i="3"/>
  <c r="H497" i="3"/>
  <c r="H133" i="3"/>
  <c r="H402" i="3"/>
  <c r="H306" i="3"/>
  <c r="H289" i="3"/>
  <c r="H270" i="3"/>
  <c r="H302" i="3"/>
  <c r="H103" i="3"/>
  <c r="H127" i="3"/>
  <c r="H679" i="3"/>
  <c r="H421" i="3"/>
  <c r="H641" i="3"/>
  <c r="I332" i="3"/>
  <c r="H42" i="3"/>
  <c r="I460" i="3"/>
  <c r="H518" i="3"/>
  <c r="H595" i="3"/>
  <c r="I512" i="3" l="1"/>
  <c r="I361" i="3"/>
  <c r="I319" i="3"/>
  <c r="I233" i="3"/>
  <c r="H193" i="3"/>
  <c r="H549" i="3"/>
  <c r="H450" i="3"/>
  <c r="H31" i="3"/>
  <c r="I666" i="3"/>
  <c r="I113" i="3"/>
  <c r="I108" i="3"/>
  <c r="I135" i="3"/>
  <c r="I337" i="3"/>
  <c r="H667" i="3"/>
  <c r="I129" i="3"/>
  <c r="H362" i="3"/>
  <c r="H137" i="3"/>
  <c r="H95" i="3"/>
  <c r="H142" i="3"/>
  <c r="H589" i="3"/>
  <c r="H579" i="3"/>
  <c r="H357" i="3"/>
  <c r="I601" i="3"/>
  <c r="I106" i="3"/>
  <c r="H154" i="3"/>
  <c r="H486" i="3"/>
  <c r="I353" i="3"/>
  <c r="I138" i="3"/>
  <c r="I90" i="3"/>
  <c r="I238" i="3"/>
  <c r="I370" i="3"/>
  <c r="I410" i="3"/>
  <c r="I98" i="3"/>
  <c r="I614" i="3"/>
  <c r="H231" i="3"/>
  <c r="I572" i="3"/>
  <c r="I17" i="3"/>
  <c r="H258" i="3"/>
  <c r="I358" i="3"/>
  <c r="I167" i="3"/>
  <c r="H533" i="3"/>
  <c r="H521" i="3"/>
  <c r="H642" i="3"/>
  <c r="H569" i="3"/>
  <c r="I569" i="3"/>
  <c r="I331" i="3"/>
  <c r="H331" i="3"/>
  <c r="H194" i="3"/>
  <c r="I194" i="3"/>
  <c r="H279" i="3"/>
  <c r="I341" i="3"/>
  <c r="H313" i="3"/>
  <c r="I313" i="3"/>
  <c r="H473" i="3"/>
  <c r="I473" i="3"/>
  <c r="I455" i="3"/>
  <c r="H649" i="3"/>
  <c r="I649" i="3"/>
  <c r="I243" i="3"/>
  <c r="I51" i="3"/>
  <c r="I220" i="3"/>
  <c r="I531" i="3"/>
  <c r="I443" i="3"/>
  <c r="I239" i="3"/>
  <c r="I42" i="3"/>
  <c r="I68" i="3"/>
  <c r="I162" i="3"/>
  <c r="H118" i="3"/>
  <c r="H247" i="3"/>
  <c r="H494" i="3"/>
  <c r="I153" i="3"/>
  <c r="I316" i="3"/>
  <c r="H228" i="3"/>
  <c r="I133" i="3"/>
  <c r="H162" i="3"/>
  <c r="I617" i="3"/>
  <c r="I173" i="3"/>
  <c r="H550" i="3"/>
  <c r="I397" i="3"/>
  <c r="H359" i="3"/>
  <c r="I251" i="3"/>
  <c r="H39" i="3"/>
  <c r="H577" i="3"/>
  <c r="I577" i="3"/>
  <c r="H460" i="3"/>
  <c r="H120" i="3"/>
  <c r="I456" i="3"/>
  <c r="I503" i="3"/>
  <c r="H466" i="3"/>
  <c r="I19" i="3"/>
  <c r="I511" i="3"/>
  <c r="I132" i="3"/>
  <c r="H285" i="3"/>
  <c r="I285" i="3"/>
  <c r="I437" i="3"/>
  <c r="H174" i="3"/>
  <c r="I464" i="3"/>
  <c r="H464" i="3"/>
  <c r="I94" i="3"/>
  <c r="I640" i="3"/>
  <c r="I680" i="3"/>
  <c r="I565" i="3"/>
  <c r="I426" i="3"/>
  <c r="H392" i="3"/>
  <c r="H88" i="3"/>
  <c r="H305" i="3"/>
  <c r="I610" i="3"/>
  <c r="I496" i="3"/>
  <c r="I574" i="3"/>
  <c r="H13" i="3"/>
  <c r="I235" i="3"/>
  <c r="I366" i="3"/>
  <c r="I421" i="3"/>
  <c r="I65" i="3"/>
  <c r="I582" i="3"/>
  <c r="H637" i="3"/>
  <c r="I637" i="3"/>
  <c r="H600" i="3"/>
  <c r="I242" i="3"/>
  <c r="H334" i="3"/>
  <c r="I334" i="3"/>
  <c r="H356" i="3"/>
  <c r="I356" i="3"/>
  <c r="H559" i="3"/>
  <c r="I273" i="3"/>
  <c r="I297" i="3"/>
  <c r="I99" i="3"/>
  <c r="H280" i="3"/>
  <c r="I280" i="3"/>
  <c r="H223" i="3"/>
  <c r="I223" i="3"/>
  <c r="I519" i="3"/>
  <c r="H318" i="3"/>
  <c r="I435" i="3"/>
  <c r="H344" i="3"/>
  <c r="I418" i="3"/>
  <c r="H404" i="3"/>
  <c r="H683" i="3"/>
  <c r="I683" i="3"/>
  <c r="H332" i="3"/>
  <c r="H82" i="3"/>
  <c r="H434" i="3"/>
  <c r="I434" i="3"/>
  <c r="H145" i="3"/>
  <c r="I145" i="3"/>
  <c r="H534" i="3"/>
  <c r="I534" i="3"/>
  <c r="H79" i="3"/>
  <c r="I271" i="3"/>
  <c r="I634" i="3"/>
  <c r="I393" i="3"/>
  <c r="I354" i="3"/>
  <c r="I197" i="3"/>
  <c r="H676" i="3"/>
  <c r="H40" i="3"/>
  <c r="H586" i="3"/>
  <c r="I105" i="3"/>
  <c r="H245" i="3"/>
  <c r="H74" i="3"/>
  <c r="H438" i="3"/>
  <c r="I595" i="3"/>
  <c r="H274" i="3"/>
  <c r="I184" i="3"/>
  <c r="I205" i="3"/>
  <c r="I668" i="3"/>
  <c r="I562" i="3"/>
  <c r="H551" i="3"/>
  <c r="I204" i="3"/>
  <c r="I441" i="3"/>
  <c r="I442" i="3"/>
  <c r="H573" i="3"/>
  <c r="H267" i="3"/>
  <c r="I459" i="3"/>
  <c r="H377" i="3"/>
  <c r="I107" i="3"/>
  <c r="I369" i="3"/>
  <c r="I143" i="3"/>
  <c r="I298" i="3"/>
  <c r="H171" i="3"/>
  <c r="H530" i="3"/>
  <c r="I134" i="3"/>
  <c r="H394" i="3"/>
  <c r="I172" i="3"/>
  <c r="H100" i="3"/>
  <c r="H241" i="3"/>
  <c r="I398" i="3"/>
  <c r="I444" i="3"/>
  <c r="I315" i="3"/>
  <c r="H276" i="3"/>
  <c r="H354" i="3"/>
  <c r="I686" i="3"/>
  <c r="I77" i="3"/>
  <c r="I350" i="3"/>
  <c r="I638" i="3"/>
  <c r="I583" i="3"/>
  <c r="I149" i="3"/>
  <c r="I372" i="3"/>
  <c r="I225" i="3"/>
  <c r="I116" i="3"/>
  <c r="I141" i="3"/>
  <c r="I629" i="3"/>
  <c r="I206" i="3"/>
  <c r="I123" i="3"/>
  <c r="I126" i="3"/>
  <c r="I212" i="3"/>
  <c r="I612" i="3"/>
  <c r="I651" i="3"/>
  <c r="I81" i="3"/>
  <c r="I684" i="3"/>
  <c r="I185" i="3"/>
  <c r="I453" i="3"/>
  <c r="I146" i="3"/>
  <c r="I196" i="3"/>
  <c r="I672" i="3"/>
  <c r="I195" i="3"/>
  <c r="I523" i="3"/>
  <c r="I28" i="3"/>
  <c r="I560" i="3"/>
  <c r="I202" i="3"/>
  <c r="I180" i="3"/>
  <c r="I364" i="3"/>
  <c r="I55" i="3"/>
  <c r="I445" i="3"/>
  <c r="I213" i="3"/>
  <c r="I277" i="3"/>
  <c r="I395" i="3"/>
  <c r="I127" i="3"/>
  <c r="I526" i="3"/>
  <c r="I605" i="3"/>
  <c r="I214" i="3"/>
  <c r="I268" i="3"/>
  <c r="I671" i="3"/>
  <c r="I326" i="3"/>
  <c r="I30" i="3"/>
  <c r="I547" i="3"/>
  <c r="I151" i="3"/>
  <c r="I270" i="3"/>
  <c r="I291" i="3"/>
  <c r="I381" i="3"/>
  <c r="I440" i="3"/>
  <c r="I229" i="3"/>
  <c r="I21" i="3"/>
  <c r="I532" i="3"/>
  <c r="I272" i="3"/>
  <c r="I468" i="3"/>
  <c r="I636" i="3"/>
  <c r="I38" i="3"/>
  <c r="I33" i="3"/>
  <c r="I602" i="3"/>
  <c r="I520" i="3"/>
  <c r="I432" i="3"/>
  <c r="I37" i="3"/>
  <c r="I417" i="3"/>
  <c r="I304" i="3"/>
  <c r="I363" i="3"/>
  <c r="I189" i="3"/>
  <c r="I389" i="3"/>
  <c r="I160" i="3"/>
  <c r="I265" i="3"/>
  <c r="I635" i="3"/>
  <c r="I446" i="3"/>
  <c r="I128" i="3"/>
  <c r="I178" i="3"/>
  <c r="I431" i="3"/>
  <c r="I317" i="3"/>
  <c r="I328" i="3"/>
  <c r="I458" i="3"/>
  <c r="I515" i="3"/>
  <c r="I379" i="3"/>
  <c r="I109" i="3"/>
  <c r="I115" i="3"/>
  <c r="I487" i="3"/>
  <c r="I396" i="3"/>
  <c r="I175" i="3"/>
  <c r="I463" i="3"/>
  <c r="I259" i="3"/>
  <c r="I662" i="3"/>
  <c r="I497" i="3"/>
  <c r="I292" i="3"/>
  <c r="I168" i="3"/>
  <c r="I23" i="3"/>
  <c r="I208" i="3"/>
  <c r="I201" i="3"/>
  <c r="I329" i="3"/>
  <c r="I405" i="3"/>
  <c r="I63" i="3"/>
  <c r="I227" i="3"/>
  <c r="I54" i="3"/>
  <c r="I269" i="3"/>
  <c r="I250" i="3"/>
  <c r="I632" i="3"/>
  <c r="I169" i="3"/>
  <c r="I382" i="3"/>
  <c r="I536" i="3"/>
  <c r="I436" i="3"/>
  <c r="I347" i="3"/>
  <c r="I427" i="3"/>
  <c r="I439" i="3" l="1"/>
  <c r="I325" i="3"/>
  <c r="I47" i="3"/>
  <c r="I422" i="3"/>
  <c r="I476" i="3"/>
  <c r="I594" i="3"/>
  <c r="I399" i="3"/>
  <c r="I339" i="3"/>
  <c r="I513" i="3"/>
  <c r="I295" i="3"/>
  <c r="I416" i="3"/>
  <c r="I599" i="3"/>
  <c r="I286" i="3"/>
  <c r="I618" i="3"/>
  <c r="I548" i="3"/>
  <c r="I66" i="3"/>
  <c r="I411" i="3"/>
  <c r="I161" i="3"/>
  <c r="I24" i="3"/>
  <c r="I643" i="3"/>
  <c r="I376" i="3"/>
  <c r="I400" i="3"/>
  <c r="I302" i="3"/>
  <c r="I310" i="3"/>
  <c r="I493" i="3"/>
  <c r="I402" i="3"/>
  <c r="I447" i="3"/>
  <c r="I611" i="3"/>
  <c r="I553" i="3"/>
  <c r="I294" i="3"/>
  <c r="I423" i="3"/>
  <c r="I296" i="3"/>
  <c r="I64" i="3"/>
  <c r="I27" i="3"/>
  <c r="I603" i="3"/>
  <c r="I103" i="3"/>
  <c r="I44" i="3"/>
  <c r="I262" i="3"/>
  <c r="I299" i="3"/>
  <c r="I428" i="3"/>
  <c r="I687" i="3"/>
  <c r="I157" i="3"/>
  <c r="I46" i="3"/>
  <c r="I191" i="3"/>
  <c r="I406" i="3"/>
  <c r="I50" i="3"/>
  <c r="I593" i="3"/>
  <c r="I685" i="3"/>
  <c r="I552" i="3"/>
  <c r="I509" i="3"/>
  <c r="I16" i="3"/>
  <c r="I570" i="3"/>
  <c r="I73" i="3"/>
  <c r="I581" i="3"/>
  <c r="I222" i="3"/>
  <c r="I517" i="3"/>
  <c r="I177" i="3"/>
  <c r="I588" i="3"/>
  <c r="I561" i="3"/>
  <c r="I221" i="3"/>
  <c r="I323" i="3"/>
  <c r="I22" i="3"/>
  <c r="I584" i="3"/>
  <c r="I219" i="3"/>
  <c r="I525" i="3"/>
  <c r="I604" i="3"/>
  <c r="I633" i="3"/>
  <c r="I682" i="3"/>
  <c r="I324" i="3"/>
  <c r="I76" i="3"/>
  <c r="I348" i="3"/>
  <c r="I335" i="3"/>
  <c r="I571" i="3"/>
  <c r="I554" i="3"/>
  <c r="I234" i="3"/>
  <c r="I158" i="3"/>
  <c r="I289" i="3"/>
  <c r="I557" i="3"/>
  <c r="I538" i="3"/>
  <c r="I210" i="3"/>
  <c r="I163" i="3"/>
  <c r="I449" i="3"/>
  <c r="I117" i="3"/>
  <c r="I541" i="3"/>
  <c r="I284" i="3"/>
  <c r="I237" i="3"/>
  <c r="I58" i="3"/>
  <c r="I244" i="3"/>
  <c r="I424" i="3"/>
  <c r="I215" i="3"/>
  <c r="I491" i="3"/>
  <c r="I564" i="3"/>
  <c r="I641" i="3"/>
  <c r="I387" i="3"/>
  <c r="I467" i="3"/>
  <c r="I71" i="3"/>
  <c r="I566" i="3"/>
  <c r="I343" i="3"/>
  <c r="I555" i="3"/>
  <c r="I144" i="3"/>
  <c r="I535" i="3"/>
  <c r="I679" i="3"/>
  <c r="I606" i="3"/>
  <c r="I112" i="3"/>
  <c r="I413" i="3"/>
  <c r="I558" i="3"/>
  <c r="I338" i="3"/>
  <c r="I124" i="3"/>
  <c r="I403" i="3"/>
  <c r="I371" i="3"/>
  <c r="I35" i="3"/>
  <c r="I110" i="3"/>
  <c r="I209" i="3"/>
  <c r="I522" i="3"/>
  <c r="I360" i="3"/>
  <c r="I407" i="3"/>
  <c r="I451" i="3"/>
  <c r="I567" i="3"/>
  <c r="I568" i="3"/>
  <c r="I385" i="3"/>
  <c r="I97" i="3"/>
  <c r="I352" i="3"/>
  <c r="I18" i="3"/>
  <c r="I322" i="3"/>
  <c r="I301" i="3"/>
  <c r="I655" i="3"/>
  <c r="I401" i="3"/>
  <c r="I391" i="3"/>
  <c r="I527" i="3"/>
  <c r="I89" i="3"/>
  <c r="I176" i="3"/>
  <c r="I474" i="3"/>
  <c r="I516" i="3"/>
  <c r="I257" i="3"/>
  <c r="I156" i="3"/>
  <c r="I130" i="3"/>
  <c r="I187" i="3"/>
  <c r="I281" i="3"/>
  <c r="I608" i="3"/>
  <c r="I506" i="3"/>
  <c r="I314" i="3"/>
  <c r="I540" i="3"/>
  <c r="I645" i="3"/>
  <c r="I34" i="3"/>
  <c r="I542" i="3"/>
  <c r="I544" i="3"/>
  <c r="I386" i="3"/>
  <c r="I644" i="3"/>
  <c r="I646" i="3"/>
  <c r="I412" i="3"/>
  <c r="I253" i="3"/>
  <c r="I495" i="3"/>
  <c r="I528" i="3"/>
  <c r="I91" i="3"/>
  <c r="I518" i="3"/>
  <c r="I165" i="3"/>
  <c r="I590" i="3"/>
  <c r="I20" i="3"/>
  <c r="I52" i="3"/>
  <c r="I408" i="3"/>
  <c r="I505" i="3"/>
  <c r="I78" i="3"/>
  <c r="I598" i="3"/>
  <c r="I181" i="3"/>
  <c r="I409" i="3"/>
  <c r="I203" i="3"/>
  <c r="I514" i="3"/>
  <c r="I25" i="3"/>
  <c r="I504" i="3"/>
  <c r="I374" i="3"/>
  <c r="I664" i="3"/>
  <c r="I346" i="3"/>
  <c r="I488" i="3"/>
  <c r="I139" i="3"/>
  <c r="I320" i="3"/>
  <c r="I500" i="3"/>
  <c r="I300" i="3"/>
  <c r="I230" i="3"/>
  <c r="I275" i="3"/>
  <c r="I93" i="3"/>
  <c r="I87" i="3"/>
  <c r="I336" i="3"/>
  <c r="I681" i="3"/>
  <c r="I537" i="3"/>
  <c r="I26" i="3"/>
  <c r="I498" i="3"/>
  <c r="I452" i="3"/>
  <c r="I96" i="3"/>
  <c r="I613" i="3"/>
  <c r="I131" i="3"/>
  <c r="I148" i="3"/>
  <c r="I663" i="3"/>
  <c r="I609" i="3"/>
  <c r="I508" i="3"/>
  <c r="I252" i="3"/>
  <c r="I306" i="3"/>
  <c r="I591" i="3"/>
  <c r="I70" i="3"/>
  <c r="I45" i="3"/>
  <c r="I188" i="3"/>
  <c r="I419" i="3"/>
  <c r="I489" i="3"/>
  <c r="I575" i="3"/>
  <c r="I345" i="3"/>
  <c r="I388" i="3"/>
  <c r="I311" i="3"/>
  <c r="I429" i="3" l="1"/>
  <c r="I665" i="3"/>
  <c r="I29" i="3"/>
  <c r="I246" i="3"/>
  <c r="I433" i="3"/>
  <c r="I367" i="3"/>
  <c r="I216" i="3"/>
  <c r="I465" i="3" l="1"/>
  <c r="I14" i="3"/>
  <c r="I592" i="3" l="1"/>
  <c r="I11" i="3"/>
  <c r="I224" i="3"/>
  <c r="H8" i="3" l="1"/>
  <c r="G8" i="3" l="1"/>
  <c r="I8" i="3"/>
</calcChain>
</file>

<file path=xl/sharedStrings.xml><?xml version="1.0" encoding="utf-8"?>
<sst xmlns="http://schemas.openxmlformats.org/spreadsheetml/2006/main" count="1386" uniqueCount="1381">
  <si>
    <t>Available Stock</t>
  </si>
  <si>
    <t>UPC / EAN Barcode</t>
  </si>
  <si>
    <t xml:space="preserve">Declaimer: This document is proprietary and confidential. No part of this document may be disclosed in any manner to any third party without the prior written consent of Sia Group Limited. </t>
  </si>
  <si>
    <t>Amount (HK$)</t>
  </si>
  <si>
    <t>READY STOCK LIST</t>
  </si>
  <si>
    <t>Amount (US$)</t>
  </si>
  <si>
    <t xml:space="preserve"> </t>
  </si>
  <si>
    <t>CONFIDENTIAL</t>
  </si>
  <si>
    <t>Sia Group Limited</t>
  </si>
  <si>
    <t>Total Order</t>
  </si>
  <si>
    <t xml:space="preserve">Payment: </t>
  </si>
  <si>
    <t xml:space="preserve">Payment Method: </t>
  </si>
  <si>
    <t xml:space="preserve">Delivery: </t>
  </si>
  <si>
    <t>Min. Order Quantity:</t>
  </si>
  <si>
    <t>Goods' Condition(s):</t>
  </si>
  <si>
    <t>Order Quantity</t>
  </si>
  <si>
    <t>Product</t>
  </si>
  <si>
    <t>Unit Price (US$)</t>
  </si>
  <si>
    <t>Unit Price (HK$)</t>
  </si>
  <si>
    <t>USD 6,500 / HKD 50,000</t>
  </si>
  <si>
    <t>Full payment before shipment</t>
  </si>
  <si>
    <t>Telegraphic Transfer (HKD / USD)</t>
  </si>
  <si>
    <t>EXW Our warehouse Hong Kong</t>
  </si>
  <si>
    <t xml:space="preserve">Fresh &amp; Clean, batch code within 18 months from manufacturing </t>
  </si>
  <si>
    <t>REMARK
&amp;
MFD</t>
  </si>
  <si>
    <t>3264680018947</t>
  </si>
  <si>
    <t>Nuxe Reve de Miel Ultra Rich Cleansing Gel For Face 100 ml</t>
  </si>
  <si>
    <t>3605972670700</t>
  </si>
  <si>
    <t>3614274226478</t>
  </si>
  <si>
    <t>YSL The INKS High Shine Lip Stain #610 5.5ml</t>
  </si>
  <si>
    <t>3614274226485</t>
  </si>
  <si>
    <t>YSL The Inks Vinyl Cream High Shine Lip Stain #440 5.5ml</t>
  </si>
  <si>
    <t>3614274226553</t>
  </si>
  <si>
    <t>YSL The INKS High Shine Lip Stain #416 5.5ml</t>
  </si>
  <si>
    <t>3614274297218</t>
  </si>
  <si>
    <t>YSL Rouge Pur Couture The Slim #23</t>
  </si>
  <si>
    <t>3614274297331</t>
  </si>
  <si>
    <t>YSL Rouge Pur Couture The Slim #35</t>
  </si>
  <si>
    <t>3614274403190</t>
  </si>
  <si>
    <t>YSL All Hours Glow Fond de Teint #LN1 25ml</t>
  </si>
  <si>
    <t>4936968808319</t>
  </si>
  <si>
    <t>YSL LE CUSHION ENCRE DE PEAU #B10</t>
  </si>
  <si>
    <t>4936968871368</t>
  </si>
  <si>
    <t>4953923306376</t>
  </si>
  <si>
    <t>POLA Red BA Cleansing Cream 120g</t>
  </si>
  <si>
    <t>4953923306406</t>
  </si>
  <si>
    <t>POLA Red BA Moisturizing Lotion 120ml</t>
  </si>
  <si>
    <t>4953923306413</t>
  </si>
  <si>
    <t>POLA Red BA Repairing and Nourishing Cream 50g</t>
  </si>
  <si>
    <t>4953923307359</t>
  </si>
  <si>
    <t>POLA Red BA Firming Massage Mask 85g</t>
  </si>
  <si>
    <t>4953923309261</t>
  </si>
  <si>
    <t>POLA B.A Lotion 120ml</t>
  </si>
  <si>
    <t>4969527109381</t>
  </si>
  <si>
    <t>Paul and Joe Eye Makeup Remover Wp 100ml</t>
  </si>
  <si>
    <t>4969527145068</t>
  </si>
  <si>
    <t>Paul and Joe Compact I Accessory</t>
  </si>
  <si>
    <t>4969527147383</t>
  </si>
  <si>
    <t>Paul and Joe Eyeliner Liquide #01 - True Black</t>
  </si>
  <si>
    <t>4969527147390</t>
  </si>
  <si>
    <t>Paul and Joe Eyeliner Liquide #02-Brown</t>
  </si>
  <si>
    <t>4969527153421</t>
  </si>
  <si>
    <t>Paul and Joe Waterproof Eye Liner #01 0.1g</t>
  </si>
  <si>
    <t>4969527153438</t>
  </si>
  <si>
    <t>Paul and Joe Waterproof Eye Liner #02 0.1g</t>
  </si>
  <si>
    <t>4969527158044</t>
  </si>
  <si>
    <t>Paul and Joe Concealer Pen #01</t>
  </si>
  <si>
    <t>4969527158051</t>
  </si>
  <si>
    <t>Paul and Joe Concealer Pen #02</t>
  </si>
  <si>
    <t>4969527165059</t>
  </si>
  <si>
    <t>Paul and Joe Eyebrow Powder Duo #01</t>
  </si>
  <si>
    <t>4969527165073</t>
  </si>
  <si>
    <t>Paul and Joe Waterproof Eyebrow Liner #01</t>
  </si>
  <si>
    <t>4969527165080</t>
  </si>
  <si>
    <t>Paul and Joe Waterproof Eyebrow Liner #02</t>
  </si>
  <si>
    <t>4969527166087</t>
  </si>
  <si>
    <t>Paul and Joe Herbal Lotion 200ml</t>
  </si>
  <si>
    <t>4969527168593</t>
  </si>
  <si>
    <t>Paul and Joe Cleansing Gel 160g</t>
  </si>
  <si>
    <t>4969527170916</t>
  </si>
  <si>
    <t>Paul and Joe Hand Cream 40g</t>
  </si>
  <si>
    <t>4969527173566</t>
  </si>
  <si>
    <t>4969527176659</t>
  </si>
  <si>
    <t>Paul and Joe Sparkling Eye Color #02</t>
  </si>
  <si>
    <t>4969527176666</t>
  </si>
  <si>
    <t>Paul and Joe Sparkling Eye Color #03</t>
  </si>
  <si>
    <t>4969527176673</t>
  </si>
  <si>
    <t>Paul and Joe Sparkling Eye Color #04</t>
  </si>
  <si>
    <t>4969527176703</t>
  </si>
  <si>
    <t>Paul and Joe Sparkling Eye Color #07</t>
  </si>
  <si>
    <t>4969527176710</t>
  </si>
  <si>
    <t>Paul and Joe Sparkling Eye Color #08</t>
  </si>
  <si>
    <t>4969527190785</t>
  </si>
  <si>
    <t>4969527191256</t>
  </si>
  <si>
    <t xml:space="preserve">Paul and Joe Moisture150ml Lotion </t>
  </si>
  <si>
    <t>4969527197302</t>
  </si>
  <si>
    <t>Paul And Joe Gel Foundation Compact</t>
  </si>
  <si>
    <t>4969527197609</t>
  </si>
  <si>
    <t>Paul and Joe Gel Foundation Sponge</t>
  </si>
  <si>
    <t>4969527197630</t>
  </si>
  <si>
    <t>4969527197647</t>
  </si>
  <si>
    <t>4969527197654</t>
  </si>
  <si>
    <t>4969527197678</t>
  </si>
  <si>
    <t>4969527197852</t>
  </si>
  <si>
    <t>4969527197869</t>
  </si>
  <si>
    <t>4969527197890</t>
  </si>
  <si>
    <t>4969527197906</t>
  </si>
  <si>
    <t>4969527199436</t>
  </si>
  <si>
    <t>Paul and Joe Cream Foundation #101</t>
  </si>
  <si>
    <t>4969527199450</t>
  </si>
  <si>
    <t>Paul and Joe Cream Foundation #103</t>
  </si>
  <si>
    <t>4969527199795</t>
  </si>
  <si>
    <t>Paul and Joe Powder Foundation Compact</t>
  </si>
  <si>
    <t>4969527500249</t>
  </si>
  <si>
    <t>4969527500263</t>
  </si>
  <si>
    <t>4969527501949</t>
  </si>
  <si>
    <t>Paul and Joe Veil Fluid Makeup Case 01</t>
  </si>
  <si>
    <t>4969527503271</t>
  </si>
  <si>
    <t>Paul and Joe Eyebrow Mascara #01</t>
  </si>
  <si>
    <t>4969527503288</t>
  </si>
  <si>
    <t>Paul and Joe Eyebrow Mascara #02</t>
  </si>
  <si>
    <t>4969527504872</t>
  </si>
  <si>
    <t>Paul and Joe Soft Matte Lip Color CS #131</t>
  </si>
  <si>
    <t>4969527504889</t>
  </si>
  <si>
    <t>Paul and Joe Soft Matte Lip Color CS #132</t>
  </si>
  <si>
    <t>4969527504896</t>
  </si>
  <si>
    <t>Paul and Joe Soft Matte Lip Color CS #133</t>
  </si>
  <si>
    <t>4969527505657</t>
  </si>
  <si>
    <t>Paul and Joe Cleansing Gel N 160ml</t>
  </si>
  <si>
    <t>4969527506142</t>
  </si>
  <si>
    <t>Paul and Joe Illuminating Foundation Primer SPF50 N01 30ml</t>
  </si>
  <si>
    <t>4969527506159</t>
  </si>
  <si>
    <t>Paul and Joe Illuminating Foundation Primer SPF50 N02 30ml</t>
  </si>
  <si>
    <t>4969527506449</t>
  </si>
  <si>
    <t>Paul and Joe Glossy Rouge #02</t>
  </si>
  <si>
    <t>717334070219</t>
  </si>
  <si>
    <t>729238103207</t>
  </si>
  <si>
    <t>888066159388</t>
  </si>
  <si>
    <t>Tom Ford Lip Color Cream Finish #17</t>
  </si>
  <si>
    <t>888066161725</t>
  </si>
  <si>
    <t>Tom Ford Lip Color #16</t>
  </si>
  <si>
    <t>888066166256</t>
  </si>
  <si>
    <t>Tom Ford rose lip oil tint 5ml</t>
  </si>
  <si>
    <t>888066169158</t>
  </si>
  <si>
    <t>Tom Ford Soleil Ultra Shine Lip Color Lipstick #41 REMOTE ISLE</t>
  </si>
  <si>
    <t>3365440804340</t>
  </si>
  <si>
    <t>YSL black opium yves saint laurent EDP 7.5ml</t>
  </si>
  <si>
    <t>3614229833812</t>
  </si>
  <si>
    <t>TIFFANY&amp;CO Rose Gold EDP 75ml</t>
  </si>
  <si>
    <t>729238212565</t>
  </si>
  <si>
    <t>Shiseido Future Solution LX Concentrated Brightening Softener 170ml</t>
  </si>
  <si>
    <t>4936968808432</t>
  </si>
  <si>
    <t>YSL Le Cushion Encre De Peau Refill #B10 14g</t>
  </si>
  <si>
    <t>4969527165066</t>
  </si>
  <si>
    <t>Paul and Joe Eyebrow Powder Duo #02</t>
  </si>
  <si>
    <t>3614274226522</t>
  </si>
  <si>
    <t>YSL The Inks Vinyl Cream High Shine Lip Stain #622 5.5ml</t>
  </si>
  <si>
    <t>4953923306383</t>
  </si>
  <si>
    <t>POLA Red B.A TREATMENT WASH 120g</t>
  </si>
  <si>
    <t>4953923307328</t>
  </si>
  <si>
    <t>POLA Pensee De Bouquet Body Shampoo Set</t>
  </si>
  <si>
    <t>Shu Uemura Liquid Foundation in the Illuminating Bottle #584</t>
  </si>
  <si>
    <t>3614274403251</t>
  </si>
  <si>
    <t>YSL All Hours Glow Fond de Teint #LN4 25ml</t>
  </si>
  <si>
    <t>4953923339497</t>
  </si>
  <si>
    <t>3614274319781</t>
  </si>
  <si>
    <t>YSL Couture Blush #06</t>
  </si>
  <si>
    <t>6294018406303</t>
  </si>
  <si>
    <t>Huda Beauty Faux Filter Color Concealer #peach light</t>
  </si>
  <si>
    <t>18084507216</t>
  </si>
  <si>
    <t>Aveda WOODEN PADDLE BRUSH</t>
  </si>
  <si>
    <t>18084009413</t>
  </si>
  <si>
    <t>Aveda WOODEN PADDLE BRUSH MINI</t>
  </si>
  <si>
    <t>602004153364</t>
  </si>
  <si>
    <t>BenefIt The Porefessional Shrink Wrap</t>
  </si>
  <si>
    <t>716170292519</t>
  </si>
  <si>
    <t>Bobbi Brown Soothing Cleansing Oil 400ml</t>
  </si>
  <si>
    <t>7340032859348</t>
  </si>
  <si>
    <t>Byredo La Tulipe Body Wash 225ml</t>
  </si>
  <si>
    <t>7611773119696</t>
  </si>
  <si>
    <t>729238177727</t>
  </si>
  <si>
    <t xml:space="preserve">Cle de Peau Beaute Powder Puff </t>
  </si>
  <si>
    <t>85805260217</t>
  </si>
  <si>
    <t>85805525255</t>
  </si>
  <si>
    <t>Elizabeth Arden Retinol + HPR Ceramide 60 Capsules Rapid</t>
  </si>
  <si>
    <t>85805197865</t>
  </si>
  <si>
    <t>Elizabeth Arden Ceramide Capsules Daily Youth Restoring Serum 30 Count Capsules</t>
  </si>
  <si>
    <t>85805071370</t>
  </si>
  <si>
    <t>Elizabeth Arden Green Tea ReFreshing Body Lotion 500ml</t>
  </si>
  <si>
    <t>85805253417</t>
  </si>
  <si>
    <t>Elizabeth Arden vis diff crm fmng clnsr 125ml</t>
  </si>
  <si>
    <t>7611773160681</t>
  </si>
  <si>
    <t>773602710683</t>
  </si>
  <si>
    <t>887167561861</t>
  </si>
  <si>
    <t>Estee Lauder Soft Clean Infusion Hydrating Essence Lotion Amino Acid + Waterlily 400ml</t>
  </si>
  <si>
    <t>887167636439</t>
  </si>
  <si>
    <t>887167610606</t>
  </si>
  <si>
    <t>887167488786</t>
  </si>
  <si>
    <t>Estee Lauder Micro Essence Treatment Lotion wIth Bio-Ferment 200ml</t>
  </si>
  <si>
    <t>887167557338</t>
  </si>
  <si>
    <t>Estee Lauder Micro Essence Treatment Lotion Fresh wIth Sakura Ferment 200ml</t>
  </si>
  <si>
    <t>815517029150</t>
  </si>
  <si>
    <t>Fab Retinol Serum 0.3% W Peptides 30ml</t>
  </si>
  <si>
    <t>815517025237</t>
  </si>
  <si>
    <t>Fab Ult Rp Firm Collagn Crm 50ml</t>
  </si>
  <si>
    <t>815517027293</t>
  </si>
  <si>
    <t>809280162992</t>
  </si>
  <si>
    <t>Fresh Rose Morning Shower Gel 300ml</t>
  </si>
  <si>
    <t>809280171239</t>
  </si>
  <si>
    <t>3614273755122</t>
  </si>
  <si>
    <t>Giorgio Armani Designer Glow Foundation #2</t>
  </si>
  <si>
    <t>3614274306637</t>
  </si>
  <si>
    <t>Giorgio Armani Power Foundation Pro #3</t>
  </si>
  <si>
    <t>4936968880384</t>
  </si>
  <si>
    <t>Giorgio Armani New Black Luxury Air Cushion (wIth core) #1</t>
  </si>
  <si>
    <t>4936968880193</t>
  </si>
  <si>
    <t>Giorgio Armani Luminous Silk Prima Glow Refill #01 14g</t>
  </si>
  <si>
    <t>4936968880391</t>
  </si>
  <si>
    <t>Giorgio Armani Luminous Silk Prima Glow 2# 14g</t>
  </si>
  <si>
    <t>4936968880209</t>
  </si>
  <si>
    <t>Giorgio Armani Luminous Silk Prima Glow Refill #02 14g</t>
  </si>
  <si>
    <t>3614273325493</t>
  </si>
  <si>
    <t>3614274154382</t>
  </si>
  <si>
    <t>Giorgio Armani PRISMA GLASS #03</t>
  </si>
  <si>
    <t>3346130411666</t>
  </si>
  <si>
    <t>Hermes Eau d'Orange Verte CondItioner 200ml (WhIte Box)</t>
  </si>
  <si>
    <t>3346130411659</t>
  </si>
  <si>
    <t>Hermes Eau d'Orange Verte Shampoo 200ml (WhIte Box)</t>
  </si>
  <si>
    <t>3346130411734</t>
  </si>
  <si>
    <t>690251157518</t>
  </si>
  <si>
    <t>Jo Malone London 25 Day Advent Calendar Gift Set</t>
  </si>
  <si>
    <t>3605975028799</t>
  </si>
  <si>
    <t>3605970024574</t>
  </si>
  <si>
    <t>3700194719159</t>
  </si>
  <si>
    <t>3700194719104</t>
  </si>
  <si>
    <t>3605973018983</t>
  </si>
  <si>
    <t>Kiehl's Breakout Control Targeted Acne Serum 60ml</t>
  </si>
  <si>
    <t>7611773132930</t>
  </si>
  <si>
    <t>Bvlgari Men's Pour Homme EDP 100ml</t>
  </si>
  <si>
    <t>7611773132107</t>
  </si>
  <si>
    <t>7611773235211</t>
  </si>
  <si>
    <t>7611773148825</t>
  </si>
  <si>
    <t>7611773148689</t>
  </si>
  <si>
    <t>7611773148740</t>
  </si>
  <si>
    <t>7611773133739</t>
  </si>
  <si>
    <t>7611773086240</t>
  </si>
  <si>
    <t>7611773146647</t>
  </si>
  <si>
    <t>La Prairie Skin Caviar Eye Essence 15ml</t>
  </si>
  <si>
    <t>7611773158923</t>
  </si>
  <si>
    <t>7611773107266</t>
  </si>
  <si>
    <t>7611773052658</t>
  </si>
  <si>
    <t>7611773058674</t>
  </si>
  <si>
    <t>7611773052634</t>
  </si>
  <si>
    <t>7611773052740</t>
  </si>
  <si>
    <t>7611773060578</t>
  </si>
  <si>
    <t>7611773121170</t>
  </si>
  <si>
    <t>7611773146807</t>
  </si>
  <si>
    <t>La Prairie Skin Caviar The Mist 50ml</t>
  </si>
  <si>
    <t>7611773081559</t>
  </si>
  <si>
    <t>7611773139700</t>
  </si>
  <si>
    <t>La Prairie Skin Caviar Luxe Cream Sheer 100ml</t>
  </si>
  <si>
    <t>7611773139694</t>
  </si>
  <si>
    <t>7611773154758</t>
  </si>
  <si>
    <t>7611773085663</t>
  </si>
  <si>
    <t>7611773146968</t>
  </si>
  <si>
    <t>7611773144131</t>
  </si>
  <si>
    <t>7611773160766</t>
  </si>
  <si>
    <t>7611773140317</t>
  </si>
  <si>
    <t>7611773133326</t>
  </si>
  <si>
    <t>7611773162692</t>
  </si>
  <si>
    <t>7611773162524</t>
  </si>
  <si>
    <t>La Prairie Platinum Rare Haute-Rejuvenation Elixir 30ml</t>
  </si>
  <si>
    <t>7611773138789</t>
  </si>
  <si>
    <t>7611773162661</t>
  </si>
  <si>
    <t>7611773108638</t>
  </si>
  <si>
    <t>7611773162654</t>
  </si>
  <si>
    <t>7611773162630</t>
  </si>
  <si>
    <t>La Prairie Pure Gold Radiance Nocturnal Balm 60ml</t>
  </si>
  <si>
    <t>7611773141468</t>
  </si>
  <si>
    <t>La Prairie Pure Gold Radiance Eye Cream 20ml</t>
  </si>
  <si>
    <t>7611773161374</t>
  </si>
  <si>
    <t>La Prairie Pure Gold Radiance Concentrate 30ml</t>
  </si>
  <si>
    <t>7611773162210</t>
  </si>
  <si>
    <t>7611773157544</t>
  </si>
  <si>
    <t>7611773157575</t>
  </si>
  <si>
    <t>7611773157551</t>
  </si>
  <si>
    <t>7611773082198</t>
  </si>
  <si>
    <t>7611773189361</t>
  </si>
  <si>
    <t>7611773159258</t>
  </si>
  <si>
    <t>7611773063340</t>
  </si>
  <si>
    <t>7611773026864</t>
  </si>
  <si>
    <t>La Prairie Cellular Mineral Face Exfoliator 100ml</t>
  </si>
  <si>
    <t>7611773097871</t>
  </si>
  <si>
    <t>7611773275910</t>
  </si>
  <si>
    <t>La Prairie Pure Gold Revitalising Essence 130ml</t>
  </si>
  <si>
    <t>7611773272476</t>
  </si>
  <si>
    <t>7611773264327</t>
  </si>
  <si>
    <t>La Prairie Cellular Hand Cream 100ml</t>
  </si>
  <si>
    <t>7611773248853</t>
  </si>
  <si>
    <t>7611773145589</t>
  </si>
  <si>
    <t>La Prairie Skin Caviar Luxe Cream 50ml</t>
  </si>
  <si>
    <t>7611773097710</t>
  </si>
  <si>
    <t>La Prairie Supreme Balm Cleanser 100ml</t>
  </si>
  <si>
    <t>7611773235068</t>
  </si>
  <si>
    <t>La Prairie Purifying Cream Cleanser 200ml</t>
  </si>
  <si>
    <t>747930025771</t>
  </si>
  <si>
    <t>747930098928</t>
  </si>
  <si>
    <t>747930107743</t>
  </si>
  <si>
    <t>747930013549</t>
  </si>
  <si>
    <t>747930161592</t>
  </si>
  <si>
    <t>747930161585</t>
  </si>
  <si>
    <t>747930095903</t>
  </si>
  <si>
    <t>3605533303252</t>
  </si>
  <si>
    <t>Lancome Grandiose Wide-angle Fan Effect Mascara Black</t>
  </si>
  <si>
    <t>3614273841009</t>
  </si>
  <si>
    <t>Lancome Teint Idole Ultra Wear Foundation #P-01 30ml</t>
  </si>
  <si>
    <t>3614274140644</t>
  </si>
  <si>
    <t>Lancome Absolue Soft Cream Foundation #110</t>
  </si>
  <si>
    <t>3614274142655</t>
  </si>
  <si>
    <t>3614274196504</t>
  </si>
  <si>
    <t>Lancome L'Absolu Rouge Drama Matte #196</t>
  </si>
  <si>
    <t>3614274141665</t>
  </si>
  <si>
    <t>Lancome ABSOLUE THE EYE CREAM 20ml</t>
  </si>
  <si>
    <t>4935421669078</t>
  </si>
  <si>
    <t>6941594519940</t>
  </si>
  <si>
    <t>L'Oreal YOUTH CODE ADVANCED SKIN CULTIVATING ESSENCE 30ml</t>
  </si>
  <si>
    <t>773602664795</t>
  </si>
  <si>
    <t>MAC Studio Fix Fluid Foundation SPF15 #N11 30ml</t>
  </si>
  <si>
    <t>773602643554</t>
  </si>
  <si>
    <t>MAC Studio Fix Fluid Foundation SPF15 #N18 30ml</t>
  </si>
  <si>
    <t>773602664764</t>
  </si>
  <si>
    <t>MAC Studio Fix Fluid Foundation SPF15 #NC11 30ml</t>
  </si>
  <si>
    <t>773602664788</t>
  </si>
  <si>
    <t>MAC Studio Fix Fluid Foundation SPF15 #NW11 30ml</t>
  </si>
  <si>
    <t>887167485488</t>
  </si>
  <si>
    <t>Estee Lauder Advanced Night Repair Synchronized Multi-Recovery Complex 50ml</t>
  </si>
  <si>
    <t>773602610020</t>
  </si>
  <si>
    <t>MAC Lustreglass Lipstick #510 Lady Bug</t>
  </si>
  <si>
    <t>773602646159</t>
  </si>
  <si>
    <t>MAC Locked Kiss Ink Lipstick #85 Poncy</t>
  </si>
  <si>
    <t>3548752216364</t>
  </si>
  <si>
    <t>Make Up For Ever HD Skin Perfecting Pressed Powder #0.1</t>
  </si>
  <si>
    <t>3548752205726</t>
  </si>
  <si>
    <t>Make Up For Ever HD SKIN HYDRA GLOW #1R00 30ml</t>
  </si>
  <si>
    <t>3548752205733</t>
  </si>
  <si>
    <t>Make Up For Ever HD SKIN HYDRA GLOW #1Y00 30ml</t>
  </si>
  <si>
    <t>194251075945</t>
  </si>
  <si>
    <t>194251148588</t>
  </si>
  <si>
    <t>607845058946</t>
  </si>
  <si>
    <t>194251132051</t>
  </si>
  <si>
    <t>194251151526</t>
  </si>
  <si>
    <t>Nars Summer LimIted EdItion Lip Color #520 Wondrous</t>
  </si>
  <si>
    <t>194251026404</t>
  </si>
  <si>
    <t>9316542140137</t>
  </si>
  <si>
    <t>Natio Rw Hydration Antioxidant Serum 30ml</t>
  </si>
  <si>
    <t>9316542141196</t>
  </si>
  <si>
    <t>Natio Gentle Foaming Facial Cleanser 50ml</t>
  </si>
  <si>
    <t>9316542110062</t>
  </si>
  <si>
    <t>Natio Rw&amp; Chamomil Gentle Skin Toner 250ml</t>
  </si>
  <si>
    <t>9316542141202</t>
  </si>
  <si>
    <t>Natio Rw&amp; Chamomil Gentle Skin Toner 75ml</t>
  </si>
  <si>
    <t>9316542141219</t>
  </si>
  <si>
    <t>Natio Evening Primrose Moisturising Face Lotion 75ml</t>
  </si>
  <si>
    <t>3264680041594</t>
  </si>
  <si>
    <t>3264680027932</t>
  </si>
  <si>
    <t>Nuxe Cf Mattifying Fl Cs 50ml</t>
  </si>
  <si>
    <t>717334277335</t>
  </si>
  <si>
    <t>3614274297232</t>
  </si>
  <si>
    <t>YSL The Slim Leather Matte Lipstick #25</t>
  </si>
  <si>
    <t>3614226904966</t>
  </si>
  <si>
    <t>Burberry PFM BrIt Sheer for Her EDT 100ml</t>
  </si>
  <si>
    <t>3614229828993</t>
  </si>
  <si>
    <t>Burberry My Burberry Black EdP 50ml</t>
  </si>
  <si>
    <t>783320425158</t>
  </si>
  <si>
    <t>Bvlgari White Tea Eau de Toilette 10ml</t>
  </si>
  <si>
    <t>783320425165</t>
  </si>
  <si>
    <t>Bvlgari Unisex Eau Parfumee The Blanc EDC Spray 75ml (Tester)</t>
  </si>
  <si>
    <t>783320420702</t>
  </si>
  <si>
    <t>Bvlgari WhIte Crystal Eau de Toilette 100ml</t>
  </si>
  <si>
    <t>783320420573</t>
  </si>
  <si>
    <t xml:space="preserve">Bvlgari OMNIA CRYSTALLINE EDT 50ml </t>
  </si>
  <si>
    <t>783320423769</t>
  </si>
  <si>
    <t>Bvlgari Wood Essence EDP 5ml</t>
  </si>
  <si>
    <t>887167727793</t>
  </si>
  <si>
    <t>783320421334</t>
  </si>
  <si>
    <t>783320421327</t>
  </si>
  <si>
    <t>Bvlgari Men's Pour Homme EDP 50ml</t>
  </si>
  <si>
    <t>783320418945</t>
  </si>
  <si>
    <t>Bvlgari EDT POUR HOMME REPACK 50ml</t>
  </si>
  <si>
    <t>783320413841</t>
  </si>
  <si>
    <t xml:space="preserve">Bvlgari MAN IN BLACK EDP 60ml*2 </t>
  </si>
  <si>
    <t>783320425875</t>
  </si>
  <si>
    <t>Bvlgari Omnia Crystalline EDT 100ml (Tester)</t>
  </si>
  <si>
    <t>783320419492</t>
  </si>
  <si>
    <t>Bvlgari Man Rain Essence for Men Eau de Parfum 100ml Tester</t>
  </si>
  <si>
    <t>783320419454</t>
  </si>
  <si>
    <t>Bvlgari Man Rain Essence Eau De Parfum 15ml</t>
  </si>
  <si>
    <t>783320471513</t>
  </si>
  <si>
    <t>Bvlgari Au The Vert EDC 75ml(Tester)</t>
  </si>
  <si>
    <t>783320425196</t>
  </si>
  <si>
    <t>Bvlgari Green Tea Eau de Toilette 10ml</t>
  </si>
  <si>
    <t>783320425202</t>
  </si>
  <si>
    <t>Bvlgari Eau Parfumee Au The Vert EDC 75ml (Tester)</t>
  </si>
  <si>
    <t>783320412394</t>
  </si>
  <si>
    <t>Bvlgari allegra rock nrome edp 50ml</t>
  </si>
  <si>
    <t>783320420627</t>
  </si>
  <si>
    <t xml:space="preserve">Bvlgari OMNIA AMETHYSTE EDT 50ml </t>
  </si>
  <si>
    <t>Calvin Klein Euphoria for Men Eau de Toilette 100ml</t>
  </si>
  <si>
    <t>3616303312398</t>
  </si>
  <si>
    <t>Chloe Rose Naturelle Intense Refill Eau De Parfum 150ml</t>
  </si>
  <si>
    <t>3700431488688</t>
  </si>
  <si>
    <t>85805390501</t>
  </si>
  <si>
    <t>85805268749</t>
  </si>
  <si>
    <t>Elizabeth Arden Green Tea EDP 50ml</t>
  </si>
  <si>
    <t>85805268848</t>
  </si>
  <si>
    <t>Elizabeth Arden Green Tea EDP 100ml</t>
  </si>
  <si>
    <t>3614273955546</t>
  </si>
  <si>
    <t>3616305169259</t>
  </si>
  <si>
    <t>Gucci Flora Gorgeous Orchid Eau de Parfum for Women 30ml</t>
  </si>
  <si>
    <t>3346470147386</t>
  </si>
  <si>
    <t>Guerlain La Petite Robe Noire Eau de Parfum Intense 50ml</t>
  </si>
  <si>
    <t>3346470145641</t>
  </si>
  <si>
    <t>Guerlain La Petite Robe Noire Absolue Eau de Parfum 75ml</t>
  </si>
  <si>
    <t>3346133500046</t>
  </si>
  <si>
    <t>Hermes H24 EDT 50ml</t>
  </si>
  <si>
    <t>3346130011101</t>
  </si>
  <si>
    <t>Hermes 24 Faubourg EDT 100ml (Tester)</t>
  </si>
  <si>
    <t>3346130011095</t>
  </si>
  <si>
    <t>Hermes 24 Faubourg Eau De Toilette 100ml</t>
  </si>
  <si>
    <t>3346130010074</t>
  </si>
  <si>
    <t>Hermes L'Ombre des Merveilles Eau de Parfum 100ml</t>
  </si>
  <si>
    <t>690251006564</t>
  </si>
  <si>
    <t>690251042319</t>
  </si>
  <si>
    <t>Jo Malone London Mimosa &amp; Cardamom Cologne 100ml</t>
  </si>
  <si>
    <t>690251042302</t>
  </si>
  <si>
    <t>690251026104</t>
  </si>
  <si>
    <t>690251026098</t>
  </si>
  <si>
    <t>690251009435</t>
  </si>
  <si>
    <t>Jo Malone London Pomegranate Noir Cologne 30ml</t>
  </si>
  <si>
    <t>690251002245</t>
  </si>
  <si>
    <t>690251021734</t>
  </si>
  <si>
    <t>690251021741</t>
  </si>
  <si>
    <t>690251028412</t>
  </si>
  <si>
    <t>Jo Malone Peony &amp; Blush Suede Cologne 100ml</t>
  </si>
  <si>
    <t>690251028405</t>
  </si>
  <si>
    <t>690251000043</t>
  </si>
  <si>
    <t>690251000036</t>
  </si>
  <si>
    <t>690251063260</t>
  </si>
  <si>
    <t>Jo Malone London Honeysuckle &amp; Davana Cologne 30ml</t>
  </si>
  <si>
    <t>690251033713</t>
  </si>
  <si>
    <t>690251033720</t>
  </si>
  <si>
    <t>690251057016</t>
  </si>
  <si>
    <t>690251057009</t>
  </si>
  <si>
    <t>690251009015</t>
  </si>
  <si>
    <t>690251009008</t>
  </si>
  <si>
    <t>690251145614</t>
  </si>
  <si>
    <t>690251145607</t>
  </si>
  <si>
    <t>690251019113</t>
  </si>
  <si>
    <t>690251019090</t>
  </si>
  <si>
    <t>873824001085</t>
  </si>
  <si>
    <t>John Varvatos vintage edt 75ml</t>
  </si>
  <si>
    <t>873824001023</t>
  </si>
  <si>
    <t>John Varvatos jvarvatos vial 75ml</t>
  </si>
  <si>
    <t>3660463018508</t>
  </si>
  <si>
    <t>L'Artisan Histoire d'Orangers Fragrance Gift Set:(EDP 50ml+Nourishing Hand Cream 50ml+Perfumed Soap 25g)</t>
  </si>
  <si>
    <t>3700458602968</t>
  </si>
  <si>
    <t>MEMO PARIS KEDU 75ml</t>
  </si>
  <si>
    <t>736150159953</t>
  </si>
  <si>
    <t xml:space="preserve">Laura Mercier Blush Colour Infusion #No. Rose (matte Rose Pink) 6g </t>
  </si>
  <si>
    <t>7612017130262</t>
  </si>
  <si>
    <t>VALMONT Echinacea VItalIty Massage Pil 500g</t>
  </si>
  <si>
    <t>4936968876233</t>
  </si>
  <si>
    <t>YSL Lip Oil #04</t>
  </si>
  <si>
    <t>3614227728783</t>
  </si>
  <si>
    <t>TIFFANY&amp;CO LOVE MEN EDT 90ml</t>
  </si>
  <si>
    <t>3616303427412</t>
  </si>
  <si>
    <t>Burberry Beyond Wear Perfecting Matte Foundation #20</t>
  </si>
  <si>
    <t>MAC Fix + ALCOHOL-FREE MULTITASKING SETTING SPRAY 100ml</t>
  </si>
  <si>
    <t>747930139867</t>
  </si>
  <si>
    <t>773602642014</t>
  </si>
  <si>
    <t>MAC Sculpt &amp; Glow Duo Highlight &amp; Contour Palette</t>
  </si>
  <si>
    <t>4969527504681</t>
  </si>
  <si>
    <t>Paul and Joe Moisturizing Foundation Primer N #00 30ml</t>
  </si>
  <si>
    <t>3614274226515</t>
  </si>
  <si>
    <t>YSL The Inks Vinyl Cream #620 5.5ml</t>
  </si>
  <si>
    <t>783320425424</t>
  </si>
  <si>
    <t>690251006496</t>
  </si>
  <si>
    <t>690251000104</t>
  </si>
  <si>
    <t>Jo Malone London GrapefruIt Cologne 30ml</t>
  </si>
  <si>
    <t>690251082803</t>
  </si>
  <si>
    <t>Jo Malone London Poppy &amp; Barley Cologne 30ml</t>
  </si>
  <si>
    <t>Estee Lauder Nutritious Super-Pomegranate Radiant Energy 2-in-1 Cleansing Foam 125ml</t>
  </si>
  <si>
    <t>La Prairie White Caviar Pearl Infusion 30ml</t>
  </si>
  <si>
    <t>La Prairie White Caviar Essence Extraordinaire 150ml</t>
  </si>
  <si>
    <t>La Prairie Cellular Refining Lotion 250ml</t>
  </si>
  <si>
    <t>La Prairie Skin Caviar Liquid Lift 50ml</t>
  </si>
  <si>
    <t>7611773164337</t>
  </si>
  <si>
    <t>La Prairie Platinum Rare Haute-Rejuvenation Cream 50ml</t>
  </si>
  <si>
    <t>La Prairie Foam Cleanser 125ml</t>
  </si>
  <si>
    <t>La Mer The Eye Balm Intense 15ml</t>
  </si>
  <si>
    <t>La Mer LIP VOLUMIZER 7ml</t>
  </si>
  <si>
    <t>La Mer The Essence Foaming Cleanser 125ml</t>
  </si>
  <si>
    <t>La Mer The Essential Tonic 200ml</t>
  </si>
  <si>
    <t>La Mer the moisturizing cream 100ml</t>
  </si>
  <si>
    <t>La Mer The Moisturizing Soft Cream 60ml</t>
  </si>
  <si>
    <t>La Mer The Rejuvenating Night Cream 60ml</t>
  </si>
  <si>
    <t>La Mer The Rejuvenating Night Cream 30ml</t>
  </si>
  <si>
    <t>Lancome ABSOLUE ROSE 80 ESSENCE-IN-LOTION 150ml</t>
  </si>
  <si>
    <t>Lancome UV Expert Aqua GEL SPF50 PA++++ 50ml</t>
  </si>
  <si>
    <t>Nars LIGHT REFLECTING SETTING POWDER - PRESSED #5894 CRYSTAL 10g</t>
  </si>
  <si>
    <t>717334235434</t>
  </si>
  <si>
    <t>3614274171099</t>
  </si>
  <si>
    <t>Prada Moisturizing Lip Balm #U001</t>
  </si>
  <si>
    <t>Estee Lauder Advanced Night Repair Overnight Treatment 65ml</t>
  </si>
  <si>
    <t>3614274297379</t>
  </si>
  <si>
    <t>YSL The slim #1977</t>
  </si>
  <si>
    <t>783320423765</t>
  </si>
  <si>
    <t>Bvlgari Man Wood Essence EDP 5ml</t>
  </si>
  <si>
    <t>Jo Malone ORANGE BLOSSOM 100ml</t>
  </si>
  <si>
    <t>Jo Malone ORANGE BLOSSOM COLOGNE 30ml</t>
  </si>
  <si>
    <t>Jo Malone MIMOSA&amp;CARDAMOM 30ml</t>
  </si>
  <si>
    <t>Jo Malone BLACKBERRY &amp; BAY CLOLOGNE 100ml</t>
  </si>
  <si>
    <t>Jo Malone BLACKBERRY &amp; BAY 30ml</t>
  </si>
  <si>
    <t>Jo Malone RED ROSES 30ml</t>
  </si>
  <si>
    <t>Jo Malone WILD BLUEBELL 100ml</t>
  </si>
  <si>
    <t>Jo Malone WILD BLUEBELL 30ml</t>
  </si>
  <si>
    <t>Jo Malone PEONY &amp; BLUSH SUEDE 30ml</t>
  </si>
  <si>
    <t>Jo Malone LIME BASIL &amp; MANDARIN COLOGNE 100ml</t>
  </si>
  <si>
    <t>Jo Malone LIME BASIL &amp; MANDARIN 30ml</t>
  </si>
  <si>
    <t>Jo Malone WOOD SAGE &amp; SEA SALT COLOGNE 100ml</t>
  </si>
  <si>
    <t>Jo Malone WOOD SAGE &amp; SEA SALT 30ml</t>
  </si>
  <si>
    <t>Jo Malone ENGLISH OAK &amp; HAZELNUT 100ml</t>
  </si>
  <si>
    <t>Jo Malone ENGLISH OAK &amp; HAZELNUT 30ml</t>
  </si>
  <si>
    <t>Jo Malone NECTARINE BLOSSOM &amp; HONEY 100ml</t>
  </si>
  <si>
    <t>Jo Malone NECTARINE BLOSSOM &amp; HONEY 30ml</t>
  </si>
  <si>
    <t>Jo Malone English Pear &amp; Sweet 100ml</t>
  </si>
  <si>
    <t>Jo Malone ENGLISH PEAR &amp; SWEET PEA 30ml</t>
  </si>
  <si>
    <t>Jo Malone ENGLISH PEAR &amp; FREESIA 100ml</t>
  </si>
  <si>
    <t>Jo Malone ENGLISH PEAR &amp; FREESIA 30ml</t>
  </si>
  <si>
    <t>Giorgio Armani My Armani to Go essence-in-foundation cushion refill #3 15g</t>
  </si>
  <si>
    <t>3614273991599</t>
  </si>
  <si>
    <t>Lancome Clarifique Double Treatment Essence 250ml</t>
  </si>
  <si>
    <t>3614274664270</t>
  </si>
  <si>
    <t>Prada Lip Balm Frosting Care #U002 3.8g</t>
  </si>
  <si>
    <t>Giorgio Armani Acqua Di Gio EDT 100ml</t>
  </si>
  <si>
    <t>Nars Quad Eyeshadow #Orgasm 1.1gx4</t>
  </si>
  <si>
    <t>Nars Light Reflecting Setting Powder - Loose #Crystal 11g</t>
  </si>
  <si>
    <t>Nars AFTERGLOW LIQUID BLUSH #WANDERLUST 7ml</t>
  </si>
  <si>
    <t>Nars Light Reflecting Prismatic Powder - Loose #Dusk 11g</t>
  </si>
  <si>
    <t>3346470615557</t>
  </si>
  <si>
    <t>Guerlain ABEILLE ROYALE FACE LOTION 150ml</t>
  </si>
  <si>
    <t>3548752194679</t>
  </si>
  <si>
    <t>MAKE UP FOR EVER HD SKIN MATTE VELVET Powder Foundation #1N10 11g</t>
  </si>
  <si>
    <t>3614273955553</t>
  </si>
  <si>
    <t>Giorgio Armani Men's Acqua Di Gio EDT 50ml</t>
  </si>
  <si>
    <t>3614274182699</t>
  </si>
  <si>
    <t>Helena Rubinstein Prodigy Re-Plasty Age Recovery Night Cream 50ml</t>
  </si>
  <si>
    <t>3614274297348</t>
  </si>
  <si>
    <t>YSL The Slim #1988</t>
  </si>
  <si>
    <t>4562248591239</t>
  </si>
  <si>
    <t>Three Balancing Cleansing Oil N 185ml</t>
  </si>
  <si>
    <t>4562248591697</t>
  </si>
  <si>
    <t>Three Balancing Cleansing Oil Limited #Sakura 185ml</t>
  </si>
  <si>
    <t>4953923312391</t>
  </si>
  <si>
    <t>POLA Black BA Cream 30g</t>
  </si>
  <si>
    <t>5056446643603</t>
  </si>
  <si>
    <t>Charlotte Tilbury Airbrush Flawless Lip Blur #Pillow Talk Blur</t>
  </si>
  <si>
    <t>5056446643634</t>
  </si>
  <si>
    <t>Charlotte Tilbury Airbrush Flawless Lip Blur #Walk of No Shame Blu</t>
  </si>
  <si>
    <t>729238212558</t>
  </si>
  <si>
    <t>Shiseido FUTURE SOLUTION LX Extra Rich Cleansing Foam 125ml</t>
  </si>
  <si>
    <t>747930112433</t>
  </si>
  <si>
    <t>La Mer The Lip Balm 9g</t>
  </si>
  <si>
    <t>747930140054</t>
  </si>
  <si>
    <t>La Mer The Renewal Oil 30ml</t>
  </si>
  <si>
    <t>7611773160674</t>
  </si>
  <si>
    <t>773602429899</t>
  </si>
  <si>
    <t>MAC EXTRA DIMENSION SKINFINISH MEDIUM (DOUBLE-GLEAM)</t>
  </si>
  <si>
    <t>Nuxe Huile Prodigieuse Or Multi-Purpose Dry Oil 50ml</t>
  </si>
  <si>
    <t>Nuxe Huile Prodigieuse Florale Multi-Purpose Dry Oil 50ml</t>
  </si>
  <si>
    <t>Nuxe Multi-Corrective Radiance Cream 40ml</t>
  </si>
  <si>
    <t>Nuxe Huile Prodigieuse Florale Multi Purpose Dry Oil 50ml （Tester）</t>
  </si>
  <si>
    <t>4969527504667</t>
  </si>
  <si>
    <t>Paul and Joe Moisturizing Foundation Primer #01 30ml</t>
  </si>
  <si>
    <t>4969527504674</t>
  </si>
  <si>
    <t>Paul and Joe Primer SPF15 #02 30ml</t>
  </si>
  <si>
    <t>716170027456</t>
  </si>
  <si>
    <t>3274872498105</t>
  </si>
  <si>
    <t>4969527504698</t>
  </si>
  <si>
    <t>Paul and Joe Moisturizing Foundation Primer #03 30ml</t>
  </si>
  <si>
    <t>4969527171548</t>
  </si>
  <si>
    <t>Paul and Joe COS ILLUMINATING FOUNDATION PRIMER #01</t>
  </si>
  <si>
    <t>4953923312339</t>
  </si>
  <si>
    <t>POLA B.A Cleansing Cream N 100g (New Version)</t>
  </si>
  <si>
    <t>729238224469</t>
  </si>
  <si>
    <t>Shiseido Ultimune Power Infusing Concentrate 4.0 75ml</t>
  </si>
  <si>
    <t>888066177702</t>
  </si>
  <si>
    <t>Tom Ford Black Lacquer Lip Lacquer #N4</t>
  </si>
  <si>
    <t>YSL TOUCHE ECLAT GLOW-PACT CUSHION #B10</t>
  </si>
  <si>
    <t>3614274581010</t>
  </si>
  <si>
    <t>3616303466701</t>
  </si>
  <si>
    <t>GUCCI Rouge A LEVRES SATIN LIP COLOUR #208 They Met In Argentina 3.5g</t>
  </si>
  <si>
    <t>3616303466749</t>
  </si>
  <si>
    <t>3474637273682</t>
  </si>
  <si>
    <t>3605973034877</t>
  </si>
  <si>
    <t>Kiehl's Ultra Facial Barrier-Hydrating Cleanser 150ml</t>
  </si>
  <si>
    <t>773602069989</t>
  </si>
  <si>
    <t>MAC lip primer</t>
  </si>
  <si>
    <t>768614212294</t>
  </si>
  <si>
    <t>Shiseido Expert Sun Protector Lotion SPF50+ 50ml</t>
  </si>
  <si>
    <t>8801051242225</t>
  </si>
  <si>
    <t>The History of Whoo Gongjinhyang Soo Vital Hydrating Balancer 150ml</t>
  </si>
  <si>
    <t>3346130009603</t>
  </si>
  <si>
    <t>Hermes TERRE DHermes EDT 100ml</t>
  </si>
  <si>
    <t>690251110773</t>
  </si>
  <si>
    <t>Jo Malone London Wood Sage &amp; Sea Salt Diffuser 165ml</t>
  </si>
  <si>
    <t>3614273760652</t>
  </si>
  <si>
    <t>Prada PARADOXE EDP MV 50ml</t>
  </si>
  <si>
    <t>3616303427313</t>
  </si>
  <si>
    <t>Burberry Trench Coat Foundation #C20</t>
  </si>
  <si>
    <t>3666057030994</t>
  </si>
  <si>
    <t>Clarins Santal Treatment Oil 30ml</t>
  </si>
  <si>
    <t>3346470616837</t>
  </si>
  <si>
    <t>Guerlain ABEILLE ROYALE DOUBLE R RENEW &amp; REPAIR ADVANCED SERUM 50ml</t>
  </si>
  <si>
    <t>3346470436084</t>
  </si>
  <si>
    <t>Guerlain Parure Gold Skin Matte Foundation SPF15 #1C</t>
  </si>
  <si>
    <t>3346130009726</t>
  </si>
  <si>
    <t>Hermes Terre D' After Shave Lotion 100ml</t>
  </si>
  <si>
    <t>6291106035339</t>
  </si>
  <si>
    <t>Huda Beauty ff lum matte liq fdtn 350g d.D.L</t>
  </si>
  <si>
    <t>747930003403</t>
  </si>
  <si>
    <t>La Mer The Hand Treatment</t>
  </si>
  <si>
    <t>3253581762868</t>
  </si>
  <si>
    <t>L'OccItane Immortelle Divine Youth Oil 30ml</t>
  </si>
  <si>
    <t>729238208575</t>
  </si>
  <si>
    <t>Shiseido Benefiance Wrinkle Smoothing Eye Cream 15ml</t>
  </si>
  <si>
    <t>8801051241464</t>
  </si>
  <si>
    <t>Whoo Radiant Brightening Balancer 150ml</t>
  </si>
  <si>
    <t>3614274403183</t>
  </si>
  <si>
    <t>YSL All Hours Glow Fond de Teint #LC1 25ml</t>
  </si>
  <si>
    <t>4935421768948</t>
  </si>
  <si>
    <t>YSL TOUCHE ECLAT GLOW-PACT CUSHION 12g #BR20</t>
  </si>
  <si>
    <t>3614274579598</t>
  </si>
  <si>
    <t>Aesop Tacit Eau de Parfum 50ml</t>
  </si>
  <si>
    <t>9319944012941</t>
  </si>
  <si>
    <t>Bvlgari Men's Eau de Toilette Darjeeling Tea 50ml</t>
  </si>
  <si>
    <t>3616302514298</t>
  </si>
  <si>
    <t>Gucci Bloom EDT 100ml</t>
  </si>
  <si>
    <t>719346700795</t>
  </si>
  <si>
    <t>John Varvatos jvarvatos xx indigo edt 125ml</t>
  </si>
  <si>
    <t>888066150316</t>
  </si>
  <si>
    <t>Tom Ford Myrrhe Mystere EDP 250ml</t>
  </si>
  <si>
    <t>3666057030901</t>
  </si>
  <si>
    <t>Clarins Blue Orchid Treatment Oil 30ml</t>
  </si>
  <si>
    <t>85805525279</t>
  </si>
  <si>
    <t>887167588509</t>
  </si>
  <si>
    <t>736150000316</t>
  </si>
  <si>
    <t>LAURA MERCIER LOOSE SETTING POWDER #TRANSLUCENT 29g</t>
  </si>
  <si>
    <t>3605973075153</t>
  </si>
  <si>
    <t>3614274403213</t>
  </si>
  <si>
    <t>YSL All Hours Glow Fond de Teint #LC2 25ml</t>
  </si>
  <si>
    <t>4935421768627</t>
  </si>
  <si>
    <t>YSL TOUCHE ECL MESH CUSH #B20 Refill</t>
  </si>
  <si>
    <t>4935421768580</t>
  </si>
  <si>
    <t>YSL TOUCHE ECLAT GLOW-PACT CUSHION #B20</t>
  </si>
  <si>
    <t>3614274347098</t>
  </si>
  <si>
    <t>YSL Pure Shots Eye Reboot Cream 15ml</t>
  </si>
  <si>
    <t>3614223111565</t>
  </si>
  <si>
    <t>Chloe Nomade EDP 50ml</t>
  </si>
  <si>
    <t>3614223113347</t>
  </si>
  <si>
    <t>Chloe Nomade EDP 75ml</t>
  </si>
  <si>
    <t>3346130009610</t>
  </si>
  <si>
    <t>Hermes TERRE DHermes EDT 50ml</t>
  </si>
  <si>
    <t>690251009459</t>
  </si>
  <si>
    <t>Jo Malone London Pomegranate Noir Cologne 100ml</t>
  </si>
  <si>
    <t>3605521932464</t>
  </si>
  <si>
    <t>MAISON MARGIELA REPLICA Lazy Sunday Morning EDT 100ml</t>
  </si>
  <si>
    <t>4935421765114 3614273325493</t>
  </si>
  <si>
    <t>3614274420586</t>
  </si>
  <si>
    <t>Giorgio Armani lip gloss #321</t>
  </si>
  <si>
    <t>3614274092806</t>
  </si>
  <si>
    <t>Helena Rubinstein Re-Plasty Age Recovery Night Cream 100ml</t>
  </si>
  <si>
    <t>3337875816847</t>
  </si>
  <si>
    <t>LA ROCHE POSAY CICAPLAST BAUME B5+ 100ml</t>
  </si>
  <si>
    <t>773602642199</t>
  </si>
  <si>
    <t>MAC FIX+ STAY OVER FIX+ STAY OVER 100ml</t>
  </si>
  <si>
    <t>607845048763</t>
  </si>
  <si>
    <t>607845060567</t>
  </si>
  <si>
    <t>Nars Sheer Glow Foundation #Gobi 30ml</t>
  </si>
  <si>
    <t>4909978148324</t>
  </si>
  <si>
    <t>Shiseido ANESSA Perfect UV Sunscreen Skincare Milk 90ml</t>
  </si>
  <si>
    <t>3614229829044</t>
  </si>
  <si>
    <t>Burberry PFM My Burberry Blush EDP 90ml</t>
  </si>
  <si>
    <t>783320425394</t>
  </si>
  <si>
    <t>Bvlgari Eau Parfumée au Thé Noir Eau de Cologne 100ml</t>
  </si>
  <si>
    <t>783320427152</t>
  </si>
  <si>
    <t>Bvlgari Aqua Pour Homme Edt 100ml</t>
  </si>
  <si>
    <t>85805390600</t>
  </si>
  <si>
    <t>Elizabeth Arden 5th Avenue EDP 125ml</t>
  </si>
  <si>
    <t>747930161608</t>
  </si>
  <si>
    <t>La Mer The Rejuvenating Night Cream 100ml</t>
  </si>
  <si>
    <t>4953923304075</t>
  </si>
  <si>
    <t>POLA WHItE SHOT LX 150ml</t>
  </si>
  <si>
    <t>3614273785211</t>
  </si>
  <si>
    <t>Helena Rubinstein POWERCELL SKINMUNItY REINFORCING SERUM 100ml</t>
  </si>
  <si>
    <t>708177113454</t>
  </si>
  <si>
    <t>Jurlique Replenishing Cleansing Lotion  200ml</t>
  </si>
  <si>
    <t>708177145905</t>
  </si>
  <si>
    <t>Jurlique CItrus Shower Gel300ml</t>
  </si>
  <si>
    <t>708177145264</t>
  </si>
  <si>
    <t>Jurlique CItrus Body Cream 300ml</t>
  </si>
  <si>
    <t>708177113539</t>
  </si>
  <si>
    <t>Jurlique RevItalising Cleansing Gel 200ml</t>
  </si>
  <si>
    <t>708177113492</t>
  </si>
  <si>
    <t>Jurlique Radiant Skin Foaming Cleanser 100ml</t>
  </si>
  <si>
    <t>708177146063</t>
  </si>
  <si>
    <t>JULIETTE Rose Body Oil 100ml</t>
  </si>
  <si>
    <t>708177169628</t>
  </si>
  <si>
    <t>Jurlique Rosewater Balancing Mist 100ml</t>
  </si>
  <si>
    <t>708177147466</t>
  </si>
  <si>
    <t>Jurlique Rose Hand Cream 125ml</t>
  </si>
  <si>
    <t>708177147480</t>
  </si>
  <si>
    <t>Jurlique Rose Hand Cream 40ml</t>
  </si>
  <si>
    <t>708177146414</t>
  </si>
  <si>
    <t>Jurlique Rose Moisture Plus Moisturising Cream Mask 100ml</t>
  </si>
  <si>
    <t>708177152552</t>
  </si>
  <si>
    <t>Jurlique Rose Body Oil 50ml</t>
  </si>
  <si>
    <t>708177138662</t>
  </si>
  <si>
    <t>Jurlique Rose Love Balm 15ml</t>
  </si>
  <si>
    <t>708177145301</t>
  </si>
  <si>
    <t>Jurlique Rose Softening Body Lotion 300ml</t>
  </si>
  <si>
    <t>708177146001</t>
  </si>
  <si>
    <t>Jurlique Lemon Body Oil 100ml</t>
  </si>
  <si>
    <t>708177147800</t>
  </si>
  <si>
    <t>Jurlique Activating Water Essence + 150ml</t>
  </si>
  <si>
    <t>708177146186</t>
  </si>
  <si>
    <t>Jurlique Rare Rose Cream 15ml</t>
  </si>
  <si>
    <t>708177146179</t>
  </si>
  <si>
    <t>Jurlique Rare Rose Lotion 50ml</t>
  </si>
  <si>
    <t>708177138129</t>
  </si>
  <si>
    <t>Jurlique Lavender CondItioner300ml</t>
  </si>
  <si>
    <t>708177147541</t>
  </si>
  <si>
    <t>Jurlique Lavender Hand Cream 125ml</t>
  </si>
  <si>
    <t>708177145929</t>
  </si>
  <si>
    <t>Jurlique Lavender Shower Gel300ml</t>
  </si>
  <si>
    <t>708177147749</t>
  </si>
  <si>
    <t>Jurlique Lavender Body Lotion 300ml</t>
  </si>
  <si>
    <t>708177140221</t>
  </si>
  <si>
    <t>Jurlique Lavender Shampoo300ml</t>
  </si>
  <si>
    <t>4953923313329</t>
  </si>
  <si>
    <t>POLA  Jasmine Orange Blossom Hand Cream 100g</t>
  </si>
  <si>
    <t>4953923315125</t>
  </si>
  <si>
    <t>4953923306529</t>
  </si>
  <si>
    <t>POLA Sparkling Bouquet Body Shampoo 500ml</t>
  </si>
  <si>
    <t>783320423772</t>
  </si>
  <si>
    <t>Bvlgari Man Wood Essence Eau De Parfum 100ml</t>
  </si>
  <si>
    <t>783320425400</t>
  </si>
  <si>
    <t>Bvlgari POUR HOMME EDP 100ml (Tester)</t>
  </si>
  <si>
    <t>783320425042</t>
  </si>
  <si>
    <t>Bvlgari Eau Parfumée au Thé Imperial Eau de Cologne 75ml</t>
  </si>
  <si>
    <t>783320420726</t>
  </si>
  <si>
    <t>Bvlgari Ladies Omnia Coral EDT 100 ml (Tester)</t>
  </si>
  <si>
    <t>783320425646</t>
  </si>
  <si>
    <t>Bvlgari Allegra Magnifying Musk Essence Eau De Parfum 40ml</t>
  </si>
  <si>
    <t>783320425905</t>
  </si>
  <si>
    <t>Bvlgari Omnia Crystalline Eau De Toilette 15ml</t>
  </si>
  <si>
    <t>783320423932</t>
  </si>
  <si>
    <t>Bvlgari Man Rain Essence Eau De Parfum 5ml</t>
  </si>
  <si>
    <t>3616301976110</t>
  </si>
  <si>
    <t>GUCCI Guilty Pour Femme Eau De Toilette 50ml</t>
  </si>
  <si>
    <t>3616305820747</t>
  </si>
  <si>
    <t>Gucci GUILTY ESSENCE EDT 50ml</t>
  </si>
  <si>
    <t>3616305820846</t>
  </si>
  <si>
    <t>Gucci Guilty Black for Men EDT 90ml</t>
  </si>
  <si>
    <t>3614229833775</t>
  </si>
  <si>
    <t>TIFFANY&amp;CO Rose Gold EdP 50ml</t>
  </si>
  <si>
    <t>Bobbi Brown Vitamin Enriched Face Base 50ml</t>
  </si>
  <si>
    <t>85805197841</t>
  </si>
  <si>
    <t>Elizabeth Arden Advanced Ceramide Capsules Daily Youth Restoring Serum 90pcs</t>
  </si>
  <si>
    <t>3616305921017</t>
  </si>
  <si>
    <t>3616303311285</t>
  </si>
  <si>
    <t>GUCCI Rouge A LEVRES LIQUIDE MAT #208 6.5ml</t>
  </si>
  <si>
    <t>3616305921055</t>
  </si>
  <si>
    <t>Gucci Rouge À Lèvres Liquide Mat Lipstick #217 Valeria Rose</t>
  </si>
  <si>
    <t>747930140375</t>
  </si>
  <si>
    <t>La Mer The Night Recovery Concentrate 50ml</t>
  </si>
  <si>
    <t xml:space="preserve">Nars Sheer Glow Foundation #Marquises 30ml </t>
  </si>
  <si>
    <t>3614229829006</t>
  </si>
  <si>
    <t>Burberry Ladies My Black EDP 90ml</t>
  </si>
  <si>
    <t>Calvin Klein CK BE EDT 100ml</t>
  </si>
  <si>
    <t>85805425302</t>
  </si>
  <si>
    <t>Elizabeth Arden Eight Hour Lipcare Stick SPF15 3.7g</t>
  </si>
  <si>
    <t>3616303472115</t>
  </si>
  <si>
    <t>Burberry BrIt Shine Ruj #97 Oxblood</t>
  </si>
  <si>
    <t>887167728479</t>
  </si>
  <si>
    <t>Estee Lauder RevItalizing Supreme+ Optimizing Power Treatment Lotion 200ml</t>
  </si>
  <si>
    <t>3346470615892</t>
  </si>
  <si>
    <t>Guerlain ABEILLE ROYALE FACE LOTION 300ml</t>
  </si>
  <si>
    <t>3605521489654</t>
  </si>
  <si>
    <t>Helena Rubinstein RE-PLASTY AR skin repairing night care 50ml</t>
  </si>
  <si>
    <t>3614274101584</t>
  </si>
  <si>
    <t>Helena Rubinstein RE-PLASTY NIGHT CREAM 100ml</t>
  </si>
  <si>
    <t>3616300892442</t>
  </si>
  <si>
    <t>3614229829037</t>
  </si>
  <si>
    <t>Burberry PFM My Burberry Blush EDP 50ml</t>
  </si>
  <si>
    <t>3614226905994</t>
  </si>
  <si>
    <t>Burberry MY Burberry EDP 50ml</t>
  </si>
  <si>
    <t>3253582081128</t>
  </si>
  <si>
    <t>L'Occitane Neroli Orchidee EDT Set (EDT 50ml + Shower Oil 250ml)</t>
  </si>
  <si>
    <t>85715152886</t>
  </si>
  <si>
    <t>85715153685</t>
  </si>
  <si>
    <t>85715152831</t>
  </si>
  <si>
    <t>MCM Zen Elephant EDP 100ml</t>
  </si>
  <si>
    <t>85715152879</t>
  </si>
  <si>
    <t>MCM Daring Dragon EDP 100ml</t>
  </si>
  <si>
    <t>85715152824</t>
  </si>
  <si>
    <t>MCM Mighty Bear EDP 100ml</t>
  </si>
  <si>
    <t>85715153104</t>
  </si>
  <si>
    <t>MCM Mighty Bear EDP 10ml</t>
  </si>
  <si>
    <t>85715152862</t>
  </si>
  <si>
    <t>MCM Charming Pup EDP 100ml</t>
  </si>
  <si>
    <t>85715152855</t>
  </si>
  <si>
    <t>MCM Doxie EDP 100ml</t>
  </si>
  <si>
    <t>783320423307</t>
  </si>
  <si>
    <t>Bvlgari Ladies Omnia Crystalline EDP Spray 100ml (Tester)</t>
  </si>
  <si>
    <t>783320404740</t>
  </si>
  <si>
    <t>Bvlgari Rose Goldea Blossom Delight Eau De Parfum Miniature 5ml</t>
  </si>
  <si>
    <t>783320417016</t>
  </si>
  <si>
    <t>Bvlgari Invigorating Rose EDT 75ml</t>
  </si>
  <si>
    <t>783320461118</t>
  </si>
  <si>
    <t>Bvlgari Man Wood Essence EDP 100ml (Terster)</t>
  </si>
  <si>
    <t>783320420719</t>
  </si>
  <si>
    <t>Bvlgari Amethyst Eau de Toilette 100ml</t>
  </si>
  <si>
    <t>3616305015068</t>
  </si>
  <si>
    <t>Chloe Atelier des Fleurs Jasminum Sambac Perfumed Shower Gel 300ml</t>
  </si>
  <si>
    <t>3616304126529</t>
  </si>
  <si>
    <t>656509015115</t>
  </si>
  <si>
    <t>Chantecaille Cushion Foundation #Alabaster</t>
  </si>
  <si>
    <t>656509701018</t>
  </si>
  <si>
    <t>Chantecaille Rice &amp; Geranium Foaming Cleanser 70ml</t>
  </si>
  <si>
    <t>5056446649032</t>
  </si>
  <si>
    <t>Charlotte Tilbury Collagen Lip Bath #Pillow talk medium 7.9ml</t>
  </si>
  <si>
    <t>5056446645904</t>
  </si>
  <si>
    <t>Charlotte Tilbury Matte Lipstick #M I Kiss</t>
  </si>
  <si>
    <t>5056446643313</t>
  </si>
  <si>
    <t>Charlotte Tilbury Cheek to Chic Blush #Pillow Talk</t>
  </si>
  <si>
    <t>5056446624091</t>
  </si>
  <si>
    <t>5056446654265</t>
  </si>
  <si>
    <t>3616305015044</t>
  </si>
  <si>
    <t>Chloe Atelier Des Fleurs Cedrus Perfumed Shower Gel 300ml</t>
  </si>
  <si>
    <t>729238162440</t>
  </si>
  <si>
    <t>Cle De Peau Beaute LIP GLORIFIER #2 2.5g</t>
  </si>
  <si>
    <t>887167529502</t>
  </si>
  <si>
    <t>Estee Lauder Advanced Night Repair Synchronized Multi-Recovery Complex 100ml Duo</t>
  </si>
  <si>
    <t>3614273785280</t>
  </si>
  <si>
    <t>Helena Rubinstein POWERCELL SKINMUNItY REINFORCING SERUM 50ml</t>
  </si>
  <si>
    <t>3253581781951</t>
  </si>
  <si>
    <t>L'Occitane Fleurs De Cerisier Perfumed Hand Cream 75ml</t>
  </si>
  <si>
    <t>3253581781913</t>
  </si>
  <si>
    <t>L'OccItane Cherry Blossom Body Lotion 250ml</t>
  </si>
  <si>
    <t>607845012665</t>
  </si>
  <si>
    <t>Nars RADIANT CREAMY CONCEALER #CRÈME BRULEE 6ml</t>
  </si>
  <si>
    <t>729238145290</t>
  </si>
  <si>
    <t>729238209978</t>
  </si>
  <si>
    <t>Shiseido VITAL PERFECTION UPLIFTING &amp; FIRMING ADVANCED CREAM 50ml</t>
  </si>
  <si>
    <t>7612017151519</t>
  </si>
  <si>
    <t>Valmont Energy Prime Renewing Pack 200ml</t>
  </si>
  <si>
    <t>7612017057606</t>
  </si>
  <si>
    <t>Valmont LumiCity UV Protection and Radiance Cream 30ml</t>
  </si>
  <si>
    <t>3614227748484</t>
  </si>
  <si>
    <t>Burberry Weekend EDT 50ml</t>
  </si>
  <si>
    <t>3614226905147</t>
  </si>
  <si>
    <t>Burberry BrIt Sheer EDT 50ml</t>
  </si>
  <si>
    <t>3614227693876</t>
  </si>
  <si>
    <t>783320425004</t>
  </si>
  <si>
    <t>Bvlgari Eau Parfumée au Thé Blanc Eau de Cologne 150ml</t>
  </si>
  <si>
    <t>3616305259523</t>
  </si>
  <si>
    <t>3614225344916</t>
  </si>
  <si>
    <t>Chloe ATELIER DES FLEURS EDP CEDRUS 150ml</t>
  </si>
  <si>
    <t>719346243001</t>
  </si>
  <si>
    <t>719346242981</t>
  </si>
  <si>
    <t>719346242998</t>
  </si>
  <si>
    <t>719346242974</t>
  </si>
  <si>
    <t>3253582081142</t>
  </si>
  <si>
    <t>8011003993802</t>
  </si>
  <si>
    <t>Versace PFM Bright Crystal EDT 30ml</t>
  </si>
  <si>
    <t>3614272648418</t>
  </si>
  <si>
    <t>YSL LIBRE EAU DE PARFUM 50ml</t>
  </si>
  <si>
    <t>Chloe Atelier des Fleurs Cedrus Eau De Parfum 50ml</t>
  </si>
  <si>
    <t>809280159886</t>
  </si>
  <si>
    <t>Fresh ROSE DEEP HYDRATION BALANCING EMULSION 100ml</t>
  </si>
  <si>
    <t>719346700801</t>
  </si>
  <si>
    <t>John Varvatos Men's XX Indigo EDT Spray 75ml</t>
  </si>
  <si>
    <t>3614273840996</t>
  </si>
  <si>
    <t>Lancome Teint Idole Ultra Wear Foundation #PO-01 30ml</t>
  </si>
  <si>
    <t>6941594519933</t>
  </si>
  <si>
    <t>L'Oreal YOUTHCODE ADVANCED SKIN CULTIVATING ESSENCE 4.0 50ml</t>
  </si>
  <si>
    <t>194251004013</t>
  </si>
  <si>
    <t>Nars Soft Matte Complete Foundation #GOBI</t>
  </si>
  <si>
    <t>4936968870491</t>
  </si>
  <si>
    <t>Shu Uemura unlimIted lasting makeup fix mist sakura scent 100ml</t>
  </si>
  <si>
    <t>3614274297300</t>
  </si>
  <si>
    <t>YSL Yves Saint Laurent Rouge Pur Couture The Slim #32</t>
  </si>
  <si>
    <t>85805445942</t>
  </si>
  <si>
    <t>Elizabeth Arden Visible Difference Refining Moisture 75ml</t>
  </si>
  <si>
    <t>3614272742574</t>
  </si>
  <si>
    <t xml:space="preserve">Giorgio Armani Armani Red Tube Lip Glaze #206 </t>
  </si>
  <si>
    <t>3605972900180</t>
  </si>
  <si>
    <t xml:space="preserve">Kiehl's ULTRA FACIAL OIL-FREE GEL CREAM 125ml </t>
  </si>
  <si>
    <t>7611773156837</t>
  </si>
  <si>
    <t>La Prairie White Caviar Light Infusion Essence 150ml</t>
  </si>
  <si>
    <t>7611773156851</t>
  </si>
  <si>
    <t>La Prairie White Caviar Light Infusion Eye Serum 15ml</t>
  </si>
  <si>
    <t>783320427176</t>
  </si>
  <si>
    <t>Bvlgari AQUA POUR HOMME EDT 100ml (Tester)</t>
  </si>
  <si>
    <t>3666057031182</t>
  </si>
  <si>
    <t>Clarins Contour Treatment Oil Aroma 100ml</t>
  </si>
  <si>
    <t>27131392330</t>
  </si>
  <si>
    <t>Estee Lauder Double Wear Stay-in-Place Makeup SPF 10/PA ++ #1N2 30ml</t>
  </si>
  <si>
    <t>GUCCI Rouge A LEVRES VOLIE LIP COLOUR #208 They Met In Argentina 3.5g</t>
  </si>
  <si>
    <t>3474637215118</t>
  </si>
  <si>
    <t>Kerastase LHUILE ORIGINALE REFILLABLE CAMELIA SAUVAGE 75ml</t>
  </si>
  <si>
    <t>7611773156882</t>
  </si>
  <si>
    <t>888066158541</t>
  </si>
  <si>
    <t>Tom Ford Runway Lip Color #15 Wild Ginger</t>
  </si>
  <si>
    <t>Origins New Version Mushroom Essence 400ml</t>
  </si>
  <si>
    <t>Origins MEGA-MUSHROOM RELIEF AND RESILIENCE SOOTHING CREAM 50ml</t>
  </si>
  <si>
    <t>Origins Checks and Balances Frothy face wash 150ml</t>
  </si>
  <si>
    <t>4953923310410</t>
  </si>
  <si>
    <t>POLA B.A Light Selector N 45g</t>
  </si>
  <si>
    <t>4953923339398</t>
  </si>
  <si>
    <t>POLA FORM SHAMPOO 550ml</t>
  </si>
  <si>
    <t>4936968808333</t>
  </si>
  <si>
    <t>YSL Le Cushion Encre De Peau Couture Cushion Foundation #20 14g</t>
  </si>
  <si>
    <t>3614274128277</t>
  </si>
  <si>
    <t>YSL LOVESHINE CANDY GLOW lip balm #44B</t>
  </si>
  <si>
    <t>783320425882</t>
  </si>
  <si>
    <t>Bvlgari Omnia Amethyste EDT Tester 100ml</t>
  </si>
  <si>
    <t>088300107407</t>
  </si>
  <si>
    <t>Calvin Klein Ck One Eau De Toilette 100ml</t>
  </si>
  <si>
    <t>3666057202476</t>
  </si>
  <si>
    <t>Clarins Double Serum 50ml</t>
  </si>
  <si>
    <t>729238161825</t>
  </si>
  <si>
    <t>Cle de Peau Beaute Correcting Cream Veil 37ml</t>
  </si>
  <si>
    <t>3614273755146</t>
  </si>
  <si>
    <t>Giorgio Armani Designer Glow Radiant RevItalizing Foundation SPF15/PA+++ #3 30ml</t>
  </si>
  <si>
    <t>3616303466794</t>
  </si>
  <si>
    <t>GUCCI Rouge A LEVRES MAT LIP COLOUR GUCCI #308 LUCY DARK ORANGE 3.5g</t>
  </si>
  <si>
    <t>3614273416719</t>
  </si>
  <si>
    <t>Maison Margiela Autumn Vibes Eau De Toilette 30ml</t>
  </si>
  <si>
    <t>4936968814365</t>
  </si>
  <si>
    <t xml:space="preserve">Shu Uemura ULTIME8 SUBIME TSUBAKI CLEANSING OIL 450ml </t>
  </si>
  <si>
    <t>4936968877919</t>
  </si>
  <si>
    <t>Shu Uemura UNLIMItED Fluid Foundation #584 New Version</t>
  </si>
  <si>
    <t>020714215552</t>
  </si>
  <si>
    <t>Clinique Take The Day Off Cleansing Balm 125ml</t>
  </si>
  <si>
    <t>3614273574976</t>
  </si>
  <si>
    <t>Helena Rubinstein POWERCELL 24H EYE CARE 15ml</t>
  </si>
  <si>
    <t>4936968874291</t>
  </si>
  <si>
    <t>Helena Rubinstein Prodigy Cellglow Dewy Essence Lotion 200ml</t>
  </si>
  <si>
    <t>773602001545</t>
  </si>
  <si>
    <t>MAC  SMALL EYESHAD-OMEGA(M) #27 1.5ml</t>
  </si>
  <si>
    <t>088300196814</t>
  </si>
  <si>
    <t>CALVIN KLEIN CKIN2U HER EDT 100ml</t>
  </si>
  <si>
    <t>088300196890</t>
  </si>
  <si>
    <t>CALVIN KLEIN CKIN2U HIM EDT 100ml</t>
  </si>
  <si>
    <t>088300104437</t>
  </si>
  <si>
    <t>Calvin Klein CK BE EDT 200ml</t>
  </si>
  <si>
    <t>088300104406</t>
  </si>
  <si>
    <t>088300107438</t>
  </si>
  <si>
    <t xml:space="preserve">Calvin Klein CK ONE Eau de Toilette 200ml </t>
  </si>
  <si>
    <t>088300178278</t>
  </si>
  <si>
    <t>3614273593489</t>
  </si>
  <si>
    <t xml:space="preserve">YSL ALL HOURES FOUNDATION #LC2 </t>
  </si>
  <si>
    <t>3614274297386</t>
  </si>
  <si>
    <t>YSL Rouge pur couture the slim #1936</t>
  </si>
  <si>
    <t>3614274297324</t>
  </si>
  <si>
    <t>YSL Rouge Pur Couture The Slim #314</t>
  </si>
  <si>
    <t>4971710624687</t>
  </si>
  <si>
    <t>Cosme Decorte UV Comfort Tone Up CC #01 Light Beige 30ml</t>
  </si>
  <si>
    <t>4971710624700</t>
  </si>
  <si>
    <t>Cosme Decorte UV Comfort Tone Up CC #10 30ml</t>
  </si>
  <si>
    <t>747930123255</t>
  </si>
  <si>
    <t>La Mer The Eye Concentrate 15ml</t>
  </si>
  <si>
    <t>4936968881992</t>
  </si>
  <si>
    <t>Lancome UV Expert Supra Screen SPF50 50ml (New EdItion, Korea Department Store Version, No Plastic Seal)</t>
  </si>
  <si>
    <t>4935421768535</t>
  </si>
  <si>
    <t>YSL TOUCHE ECLAT GLOW-PACT CUSHION Refill #B10</t>
  </si>
  <si>
    <t>4936968887673</t>
  </si>
  <si>
    <t>YSL All Hours Blur Cushion 14g</t>
  </si>
  <si>
    <t>3614274297263</t>
  </si>
  <si>
    <t>YSL The Slim Leather Matte Lipstick #28</t>
  </si>
  <si>
    <t>3346130021148</t>
  </si>
  <si>
    <t>3614273069175</t>
  </si>
  <si>
    <t>Lancome PFM IDOLE 100ml</t>
  </si>
  <si>
    <t>3614273185813</t>
  </si>
  <si>
    <t>Maison MargielaReplica Beach Walk EDT Spray 30ml</t>
  </si>
  <si>
    <t>3614273612661</t>
  </si>
  <si>
    <t>Maison MargielaReplica When The Rain Stops EDT Spray  30ml</t>
  </si>
  <si>
    <t>3346470620339</t>
  </si>
  <si>
    <t>Guerlain Abeille Royale Advanced Youth Watery Oil 50ml, 2025 New Version</t>
  </si>
  <si>
    <t>7611773160667</t>
  </si>
  <si>
    <t>3666057012853</t>
  </si>
  <si>
    <t>Clarins Total Eye Smooth Eye Balm 15ml</t>
  </si>
  <si>
    <t>3666057097980</t>
  </si>
  <si>
    <t>Clarins Hydra-Essentiel Silky Cream 50ml</t>
  </si>
  <si>
    <t>020714598907</t>
  </si>
  <si>
    <t>Clinique Dramatically different moisturizing Lotion 125ml</t>
  </si>
  <si>
    <t>4971710378412</t>
  </si>
  <si>
    <t>027131495284</t>
  </si>
  <si>
    <t>Estee Lauder Double Wear Zero-Smudge Lengthening Mascara Black #01 6 ml</t>
  </si>
  <si>
    <t>Fresh Signature Hand Cream Trio (Hesperides Grapefruit Hand Cream 30ml + Honeysuckle Hand Cream 30ml + Citron De Vigne Hand Cream 30ml)</t>
  </si>
  <si>
    <t>Kerastase Chronologiste Rituel Noir Regenerant Set (Mask 200ml + Concentrate 50ml)</t>
  </si>
  <si>
    <t>3605970630881</t>
  </si>
  <si>
    <t>La Prairie Skin Caviar 3+2 Set (Essence-In-Lotion 150ml + Luxe Cream 50ml + Eye Cream 20ml + Liquid Lift 5ml + Eye Lift 3ml)</t>
  </si>
  <si>
    <t>La Prairie Skin Caviar Face and Eye Gift Set (Luxe Eye Cream 20ml + Liquid Lift 50ml + Luxe Cream 50ml + Essence-In-Lotion 10ml + Eye Lift 3ml)</t>
  </si>
  <si>
    <t>La Prairie Skin Caviar Liquid Lift, Eye &amp; Cream Luxury Ritual Set (Liquid Lift 50ml + Luxe Eye Cream 20ml + Luxe Cream 50ml + Essence-In-Lotion 10ml + Eye Lift 3ml)</t>
  </si>
  <si>
    <t>La Prairie Skin Caviar Luxe Cream 100ml</t>
  </si>
  <si>
    <t>La Prairie Skin Caviar Luxe Eye Cream 20ml</t>
  </si>
  <si>
    <t>La Prairie White Caviar Light Concentrate 20ml</t>
  </si>
  <si>
    <t>La Prairie Platinum Rare Rejuvenation Set (Cream 30ml + Eye Cream 20ml +  Elixir 5ml + Eye Elixir 3ml)</t>
  </si>
  <si>
    <t>La Prairie Haute-Rejuvenation Eye Contour Set (Eye Elixir 15ml + Eye Cream 20ml + Night Elixir 3ml + Eye Cream 3ml)</t>
  </si>
  <si>
    <t>La Prairie Skin Caviar Set (Luxe Cream 50ml + Luxe Eye Cream 20ml)</t>
  </si>
  <si>
    <t>La Prairie Skin Caviar Summer Wardrobe Set (Cleanser 50ml + Mist 50ml + Essence-In-Lotion 80ml + Emulsion 30ml)</t>
  </si>
  <si>
    <t>La Prairie Cellular Hydralift Firming Mask 50ml</t>
  </si>
  <si>
    <t>Nuxe Merveillance Lift Set (Cream 50ml + Eye Cream 15ml + Night Cream 15ml)</t>
  </si>
  <si>
    <t>850018802208</t>
  </si>
  <si>
    <t>OLAPLEX No.0 Intensive Bond Building Treatment 155ml</t>
  </si>
  <si>
    <t>896364002718</t>
  </si>
  <si>
    <t>OLAPLEX Bond Maintenance Shampoo No 5 100ml</t>
  </si>
  <si>
    <t>850045076214</t>
  </si>
  <si>
    <t>OLAPLEX VOLUMIZING BLOW DRY MIST 150ml</t>
  </si>
  <si>
    <t>Pola B.A Protector Set (Sunscreen 45g + Cleanser 9g + Lotion 8ml)</t>
  </si>
  <si>
    <t>Pola Foam Shampoo &amp; Conditioner Set (Shampoo 250ml + CondItioner 240g)</t>
  </si>
  <si>
    <t>3614274362534</t>
  </si>
  <si>
    <t>YSL Saint Laurent New Heart Matte Lip Glaze #237</t>
  </si>
  <si>
    <t>4935421761758</t>
  </si>
  <si>
    <t>YSL Rouge Volupté Candy Glaze Lip Gloss #04</t>
  </si>
  <si>
    <t>4935421761772</t>
  </si>
  <si>
    <t>YSL Rouge VOLUPTE CANDY GLAZE BALM #06 3.2G</t>
  </si>
  <si>
    <t>9319944032246</t>
  </si>
  <si>
    <t>3607342635876</t>
  </si>
  <si>
    <t>Chloe Love Story EDP Spray 75ml</t>
  </si>
  <si>
    <t>3346470147379</t>
  </si>
  <si>
    <t>Guerlain La Petite Robe Noire Eau de Parfum Intense 30ml</t>
  </si>
  <si>
    <t>3660463007519</t>
  </si>
  <si>
    <t>L'Artisan PARFUMEUR Passage D'Enfer EDT 100ml</t>
  </si>
  <si>
    <t>L'occitane Cedre Encens EDT Set (EDT 50ml + Shower Gel 250ml)</t>
  </si>
  <si>
    <t>3614272648425</t>
  </si>
  <si>
    <t>YSL LIBRE EAU DE PARFUM 90ml</t>
  </si>
  <si>
    <t>3614274142327</t>
  </si>
  <si>
    <t>Lancome Genifique Ultimate Serum 115ml</t>
  </si>
  <si>
    <t>729238196476</t>
  </si>
  <si>
    <t>Shiseido Eudermine Activating Essence 145ml</t>
  </si>
  <si>
    <t>3614228838030</t>
  </si>
  <si>
    <t>Burberry PFM Hero EDP 50ml</t>
  </si>
  <si>
    <t>88300196920</t>
  </si>
  <si>
    <t>Calvin Klein Ck In2u Him Eau De Toilette 50ml</t>
  </si>
  <si>
    <t>3348901748841</t>
  </si>
  <si>
    <t>887167555655</t>
  </si>
  <si>
    <t>Estee Lauder FABMU INTEN MO INFUS #1C1 30ml</t>
  </si>
  <si>
    <t>3605522075283</t>
  </si>
  <si>
    <t>Giorgio Armani LIP Maestro #405 6.5ml</t>
  </si>
  <si>
    <t>3253581785911</t>
  </si>
  <si>
    <t>3253581782408</t>
  </si>
  <si>
    <t>L'OccItane Neroli &amp; Orchidee Shower Gel 250 ml</t>
  </si>
  <si>
    <t>3253581783993</t>
  </si>
  <si>
    <t>L'Occitane Shea Hydrating Shower Cream 250ml</t>
  </si>
  <si>
    <t>729238103214</t>
  </si>
  <si>
    <t>3666057215919</t>
  </si>
  <si>
    <t>Clarins Multi Active Revitalising Treatment Essence 200ml</t>
  </si>
  <si>
    <t>3666057202506</t>
  </si>
  <si>
    <t>Clarins Double Serum 75ml</t>
  </si>
  <si>
    <t>3666057098024</t>
  </si>
  <si>
    <t>Clarins Hydra-Essentiel [HA2] day cream 50ml</t>
  </si>
  <si>
    <t>3666057156236</t>
  </si>
  <si>
    <t>Clarins Hydra-Essentiel Partners Kit</t>
  </si>
  <si>
    <t>3666057210648</t>
  </si>
  <si>
    <t>Clarins Multi-Active Day &amp; Night Set (Multi-Active Day Cream 50ml + Multi-Active Night Cream 50ml)</t>
  </si>
  <si>
    <t>3380810277807</t>
  </si>
  <si>
    <t>Clarins BODY PARTNER STRETCH MARK EXPERT 175ml</t>
  </si>
  <si>
    <t>3614274420562</t>
  </si>
  <si>
    <t>Giorgio Armani lip gloss #142</t>
  </si>
  <si>
    <t>3274872442900</t>
  </si>
  <si>
    <t>Givenchy LE Rouge INTERDIt INTENSE SILK #N307</t>
  </si>
  <si>
    <t>3605970360757</t>
  </si>
  <si>
    <t>8809803564984</t>
  </si>
  <si>
    <t>Laneige Skin Veil Base Spf 25 PA++ #60</t>
  </si>
  <si>
    <t>8809803564977</t>
  </si>
  <si>
    <t>Laneige Skin Veil Base Spf 25 PA++ #40</t>
  </si>
  <si>
    <t>7611773156820</t>
  </si>
  <si>
    <t>La Prairie White Caviar Light Infusion Cream 50ml</t>
  </si>
  <si>
    <t>7611773164344</t>
  </si>
  <si>
    <t>7611773131650</t>
  </si>
  <si>
    <t>La Prairie PLATINUM RARE HAUTE-REJUVENATION PROTOCOL 8ml*3</t>
  </si>
  <si>
    <t>7611773169332</t>
  </si>
  <si>
    <t>747930121695</t>
  </si>
  <si>
    <t>La Mer The Treatment Lotion 150ml</t>
  </si>
  <si>
    <t>4953923309636</t>
  </si>
  <si>
    <t>POLA B.A EYE ZONE CREAM 20g</t>
  </si>
  <si>
    <t>4953923303375</t>
  </si>
  <si>
    <t>POLA Glamorous Care Shampoo 370ml</t>
  </si>
  <si>
    <t>7612017040042</t>
  </si>
  <si>
    <t>VALMONT Restoring Perfection SPF50 30ml</t>
  </si>
  <si>
    <t>3614273954341</t>
  </si>
  <si>
    <t>Giorgio Armani Men's Acqua Di Gio EDP 100ml</t>
  </si>
  <si>
    <t>3614273760164</t>
  </si>
  <si>
    <t>Prada PFM Prada PARADOXE EDP MV 90ml</t>
  </si>
  <si>
    <t>3614274488272</t>
  </si>
  <si>
    <t>4894374696466</t>
  </si>
  <si>
    <t>3666057202520</t>
  </si>
  <si>
    <t>729238181786</t>
  </si>
  <si>
    <t>729238171640</t>
  </si>
  <si>
    <t>7611773169875</t>
  </si>
  <si>
    <t>747930000013</t>
  </si>
  <si>
    <t>747930000020</t>
  </si>
  <si>
    <t>3614274142334</t>
  </si>
  <si>
    <t>3253581785669</t>
  </si>
  <si>
    <t>4909978228545</t>
  </si>
  <si>
    <t>4909978205539</t>
  </si>
  <si>
    <t>3614273862967</t>
  </si>
  <si>
    <t>3614274540697</t>
  </si>
  <si>
    <t>3614274540703</t>
  </si>
  <si>
    <t>3616303471972</t>
  </si>
  <si>
    <t>3616301975748</t>
  </si>
  <si>
    <t>Biotherm Homme Force Supreme Men's Cream 50ml</t>
  </si>
  <si>
    <t>Biotherm Homme Force Supreme Power Of 3 Set (Cleanser 125ml + Toner 200ml + Moisturizer 100ml)</t>
  </si>
  <si>
    <t>Clarins Double Serum 100ml</t>
  </si>
  <si>
    <t>Cle De Peau Beaute Voile Lumineux Brightening Enhancer Veil 30ml</t>
  </si>
  <si>
    <t>Cle De Peau Beaute SOFTENING CLEANSING FOAM 125ml</t>
  </si>
  <si>
    <t>La Mer the moisturizing cream 60ml</t>
  </si>
  <si>
    <t>La Mer the moisturizing cream 30ml</t>
  </si>
  <si>
    <t>Lancome Genifique Ultimate Serum 100ml</t>
  </si>
  <si>
    <t>L'Occitane Almond Supple Skin Oil 100ml</t>
  </si>
  <si>
    <t>L'Occitane Almond Hand Cream 30ml</t>
  </si>
  <si>
    <t>YSL Pure Shots Stabilizer Essence MV 150 ml</t>
  </si>
  <si>
    <t>YSL Love Shot Mirror Lip Gloss #445</t>
  </si>
  <si>
    <t>YSL Love Shot Mirror Lip Gloss #446</t>
  </si>
  <si>
    <t>Burberry PFM Her EDT 50ml</t>
  </si>
  <si>
    <t>3616303427306</t>
  </si>
  <si>
    <t>Burberry Beauty Beyond Wear Perfecting Matte Foundation 30ml Light Cool #W10</t>
  </si>
  <si>
    <t>Burberry Beyond Wear Setting &amp; Refining Powder #01 Fair 11g</t>
  </si>
  <si>
    <t>Burberry Brit Shine Lipstick - #603 Tea Party</t>
  </si>
  <si>
    <t>Burberry Her Eau De Parfum 100ml</t>
  </si>
  <si>
    <t>Burberry Her London Dream Eau De Parfum 100ml</t>
  </si>
  <si>
    <t>CHARLOTTE TILBURY Airbrush Flawless Setting Spray 200ml</t>
  </si>
  <si>
    <t>CHARLOTTE TILBURY AIRBRUSH FLAWLESS SETTING SPRAY MATTE BLUR 100ml</t>
  </si>
  <si>
    <t>4514254215197</t>
  </si>
  <si>
    <t>Cle De Peau Beaute Cotton Pads 120 Sheets</t>
  </si>
  <si>
    <t>4514254225011</t>
  </si>
  <si>
    <t>Cle De Peau Beaute Powder Puff</t>
  </si>
  <si>
    <t>Cosme Decorte Basemakeup Face Powder #00 20g</t>
  </si>
  <si>
    <t>Elizabeth Arden White Tea Skin Solutions Set (Cleanser 125ml + Serum 15ml + Cream 50ml)</t>
  </si>
  <si>
    <t>Elizabeth Arden Retinol + HPR Ceramide Capsules Rapid Skin Renewing Serum 90 capsule·</t>
  </si>
  <si>
    <t>Estee Lauder NutrItious Radiant Essence Lotion Duo 200mlx2</t>
  </si>
  <si>
    <t>ESTEE LAUDER Advanced Night Repair Eyes Supercharged Gel-Creme 15ml</t>
  </si>
  <si>
    <t>First Aid Beauty Ultra Repair Hyaluronic Hydrating Eye Cream 15ml</t>
  </si>
  <si>
    <t>Giorgio Armani My Armani To Go Cushion Refill #03+Lacquer case</t>
  </si>
  <si>
    <t>GIVENCHY Prisme Libre Mat-finish&amp;Enhanced Radiance Loose Powder #1MOUSSELINE PASTEL 4x3g</t>
  </si>
  <si>
    <t>Gucci Rouge De Beauté Brillant Lipstick #217 Valeria Rose 3.5g</t>
  </si>
  <si>
    <t>Hermes Un Jardine Sur Le Nil Perfumed Soap 100g (No Box)</t>
  </si>
  <si>
    <t>3614270443671</t>
  </si>
  <si>
    <t>Helena Rubinstein  PWC TRIGGER LOTION 200ml</t>
  </si>
  <si>
    <t>3605521954640</t>
  </si>
  <si>
    <t>Helena Rubinstein HR Pure RItual Care-in-Foam 125ml</t>
  </si>
  <si>
    <t>3605973023352</t>
  </si>
  <si>
    <t>Kiehl's Nice Earth Deep Pore Cleansing Masque 125ml</t>
  </si>
  <si>
    <t>La Prairie  WHItE CAVIAR EYE EXTRAORDINAIRE 20ml</t>
  </si>
  <si>
    <t>La Prairie White Caviar Illuminating Pearl Infusion 150ml (New Version)</t>
  </si>
  <si>
    <t>La Prairie SKIN CAVIAR HARMONY L'EXTR 20ml</t>
  </si>
  <si>
    <t>La Prairie SKIN Caviar Essence in Lotion 250ml</t>
  </si>
  <si>
    <t>La Prairie SKIN Caviar Absolute Filler 60ml</t>
  </si>
  <si>
    <t>La Prairie Skin Caviar Concealer Foundation SPF15 #CRM PECHE</t>
  </si>
  <si>
    <t>La Prairie SKIN Caviar Concealer Foundation SPF15 #PETALE 30ml</t>
  </si>
  <si>
    <t>La Prairie SKIN Caviar Concealer Foundation SPF15 #POR BLSH 30ml</t>
  </si>
  <si>
    <t>La Prairie SKIN Caviar Concealer Foundation SPF15 #Tender Ivory 30ml</t>
  </si>
  <si>
    <t>La Prairie Foundation #NC-07PURE OPAL</t>
  </si>
  <si>
    <t>La Prairie Foundation #NW-05 PURE LINEN</t>
  </si>
  <si>
    <t>La Prairie Foundation #N-00 Soft Pearl</t>
  </si>
  <si>
    <t>La Prairie Skin Caviar Concealer Foundation SPF 15 #PUR IVORY</t>
  </si>
  <si>
    <t>La Prairie SKIN Caviar Essence in Lotion 150ml</t>
  </si>
  <si>
    <t>La Prairie SKIN Caviar NIGHTTIME OIL 20ml</t>
  </si>
  <si>
    <t>La Prairie  CAVIAR LUXE EYE CREAM 20ml</t>
  </si>
  <si>
    <t>La Prairie Skin Caviar Luxe Cream 50ml (New Version - Grey)</t>
  </si>
  <si>
    <t>La Prairie SKIN CAVIAR LUXE CREAM SHEER 50ml</t>
  </si>
  <si>
    <t>La Prairie Skin Caviar Face Emulsion 70 ml</t>
  </si>
  <si>
    <t>La Prairie SKIN CAVIAR LUXE SLEEP MASK PREMIER</t>
  </si>
  <si>
    <t>La Prairie SKIN Caviar Eye Lift Serum 20ml</t>
  </si>
  <si>
    <t>La Prairie Platinum Rare Cellular Life Lotion 115ml</t>
  </si>
  <si>
    <t>La Prairie Platinum Collection Cellular Night Elixir Platinum Rare 20ml</t>
  </si>
  <si>
    <t>La Prairie Platinum Rare Haute-Rejuvenation Overnight Mask 20ml + 0.7ml*12</t>
  </si>
  <si>
    <t>La Prairie PLATINUM RARE HAUTE-REJUVENATION CREAM 30ml</t>
  </si>
  <si>
    <t>La Prairie Platinum Rare Haute Rejuvenation Eye Elixir 15ml</t>
  </si>
  <si>
    <t>La Prairie Platinum Rare Haute Rejuvenation Eye Cream 20ml</t>
  </si>
  <si>
    <t>La Prairie Gold Radiance Cream 50ml</t>
  </si>
  <si>
    <t>La Prairie Pure Gold Eye Cream 20ml</t>
  </si>
  <si>
    <t>La Prairie Cashmere Body Cream 200 ml</t>
  </si>
  <si>
    <t>La Prairie Cellular 3-Minute Peel 40ml</t>
  </si>
  <si>
    <t>La Prairie CELLULAR SWISS UV PROTECTION VEIL SPF 50PA++++ 50ml</t>
  </si>
  <si>
    <t>La Prairie CRYSTAL MICELLAR WATER 150ml</t>
  </si>
  <si>
    <t>7611773146678</t>
  </si>
  <si>
    <t>La Prairie Cellular Softening and Balancing Lotion 250ml</t>
  </si>
  <si>
    <t>3614274520880</t>
  </si>
  <si>
    <t>Lancome Tonique Confort Re-Hydrating Comforting Toner 400ml</t>
  </si>
  <si>
    <t>4894374770197</t>
  </si>
  <si>
    <t>Lancome Absolue Revitalizing Program (Essence 150ml + Cream 60ml + Eye Cream 20ml)</t>
  </si>
  <si>
    <t>773602682119</t>
  </si>
  <si>
    <t>MAC STUDIO FIX PRO SET + BLUR WEIGHTLESS LOOSE POWDER #LAVENDER 15ml</t>
  </si>
  <si>
    <t>773602672424</t>
  </si>
  <si>
    <t>MAC POWDER KISS VELVET BLUR SLIM STICK #OVER THE TAUPE</t>
  </si>
  <si>
    <t>194251070384</t>
  </si>
  <si>
    <t>Nars Light Reflecting Foundation #MONT 30ml</t>
  </si>
  <si>
    <t>194251149158</t>
  </si>
  <si>
    <t>Nars Light Reflecting™ FOUNDATION #L1.5--YULONG 30ml</t>
  </si>
  <si>
    <t>194251076867</t>
  </si>
  <si>
    <t>Nars LIGHT REFLECTING FOUNDATION #L2 MONT BLANC 10ml</t>
  </si>
  <si>
    <t>194251168692</t>
  </si>
  <si>
    <t>Nars Constellation Powder Compact #Constellation 10g</t>
  </si>
  <si>
    <t>194251151731</t>
  </si>
  <si>
    <t>Nars Powder Blush  #927 DEVILISH</t>
  </si>
  <si>
    <t>607845012320</t>
  </si>
  <si>
    <t>Nars RADIANT CREAMY CONCEALER #VANILLA 6ml</t>
  </si>
  <si>
    <t>4969527506135</t>
  </si>
  <si>
    <t>Paul and Joe Illuminating Foundation Primer SPF50 N00 30ml</t>
  </si>
  <si>
    <t>Paul and Joe Powder Foundation #101
Paul and Joe Powder Foundation Compact</t>
  </si>
  <si>
    <t>Paul and Joe Powder Foundation #103
Paul and Joe Powder Foundation Compact</t>
  </si>
  <si>
    <t>Paul and Joe Setting Powder (Refill) #01
Paul and Joe Setting Powder Case</t>
  </si>
  <si>
    <t>Paul and Joe Setting Powder (Refill) #02
Paul and Joe Setting Powder Case</t>
  </si>
  <si>
    <t>Paul and Joe Pressed Blush #04
Paul and Joe Compact I Accessory</t>
  </si>
  <si>
    <t>Paul and Joe Pressed Blush #05
Paul and Joe Compact I Accessory</t>
  </si>
  <si>
    <t>Paul and Joe Pressed Blush #08
Paul and Joe Compact I Accessory</t>
  </si>
  <si>
    <t>Paul and Joe Pressed Blush #09
Paul and Joe Compact I Accessory</t>
  </si>
  <si>
    <t>Paul and Joe COS GEL FOUNDATION S REFILL #101 
Paul and Joe COS GEL FOUNDATION COMPACT</t>
  </si>
  <si>
    <t>Paul and Joe Gel Foundation s Refill #102
Paul and Joe Gel Foundation Compact</t>
  </si>
  <si>
    <t>Paul and Joe Gel Foundation s Refill #103
Paul and Joe Gel Foundation Compact</t>
  </si>
  <si>
    <t>Paul and Joe COS GEL FOUNDATION S REFILL #201 
Paul and Joe COS GEL FOUNDATION COMPACT</t>
  </si>
  <si>
    <t>Shiseido Bio Performance Advanced Super Revitalizing Cream 50ml</t>
  </si>
  <si>
    <t>SHISEIDO Bio-Performance Advanced Super Revitalizing Cream 75 ml</t>
  </si>
  <si>
    <t>SHISEIDO ANESSA Moisture Perfect UV Sunscreen Gel SPF 50+ PA++++ 90g</t>
  </si>
  <si>
    <t>SHISEIDO ANESSA Tone Up Brightening UV Sunscreen Gel SPF 50+ PA++++ 90g</t>
  </si>
  <si>
    <t>SHISEIDO Clarifying Cleansing Foam 125ml</t>
  </si>
  <si>
    <t>URBANDECAY ALL NIGHTER Makeup Setting Spray Natural Finish 118ml</t>
  </si>
  <si>
    <t>UrbanDecay All Nighter Long Lasting Makeup Setting Spray 118ml</t>
  </si>
  <si>
    <t>3365440680050</t>
  </si>
  <si>
    <t>YSL YOUTH LIBERATOR FOUNDATION #B10 30ml</t>
  </si>
  <si>
    <t>4935421768504</t>
  </si>
  <si>
    <t>Aesop Virēre Eau de Parfum 50ml</t>
  </si>
  <si>
    <t>Aesop Hwyl Eau De Parfum 50ml</t>
  </si>
  <si>
    <t>Aesop Eidesis Eau De Parfum 50ml</t>
  </si>
  <si>
    <t>783320420832</t>
  </si>
  <si>
    <t>Bvlgari Bvlgari WhIte Crystal Eau de Toilette 15ml</t>
  </si>
  <si>
    <t>Dior Le Mini 30 Montaigne Perfume Set (J'Adore Roll 3.5 ml + J'Adore EDP 5ml + Miss Dior Blooming Bouquet 5ml + Miss Dior EDP 5ml + Hypnotic Poison 5ml)</t>
  </si>
  <si>
    <t>Diptyque Discovery Set (Do Son EDP 7.5ml + Philosykos EDP 7.5ml + L’Ombre Dans L’Eau EDP 7.5ml + Tam Dao EDP 7.5ml + Eau Rose EDP 7.5ml)</t>
  </si>
  <si>
    <t>Elizabeth Arden Fifth Avenue Eau De Parfum 75ml</t>
  </si>
  <si>
    <t>Hermes Mini Perfume Set (Barenia 7.5ml + Twilly EDP 7.5ml + Eau Merveilles 7.5ml + Un Jardin Sur De Nil 7.5ml)</t>
  </si>
  <si>
    <t>JUICY COUTURE EDP 15ml CB4</t>
  </si>
  <si>
    <t>JUICY COUTURE EDP 15ml CB2</t>
  </si>
  <si>
    <t>JUICY COUTURE EDP 15ml CB3</t>
  </si>
  <si>
    <t>JUICY COUTURE EDP 15ml CB1</t>
  </si>
  <si>
    <t>3660463011547</t>
  </si>
  <si>
    <t>L'Artisan PARFUMEUR Un Air De Bretagne EDP 100ml</t>
  </si>
  <si>
    <t>3660463007618</t>
  </si>
  <si>
    <t>L'Artisan PARFUMEUR D'Absinthe EDP 100ml</t>
  </si>
  <si>
    <t>MCM Park EDP Set (Darling Doxie EDP 10ml + Charming Pup EDP 10ml + Jolly Rabbit EDP 10ml + Mighty Bear EDP 10ml)</t>
  </si>
  <si>
    <t>MCM Zen Elephant EDP Set (EDP 10ml + EDP 15ml)</t>
  </si>
  <si>
    <t>8018365260757</t>
  </si>
  <si>
    <t xml:space="preserve">Versace Blue Jeans EDT Spray 75ml </t>
  </si>
  <si>
    <t>3614273852814</t>
  </si>
  <si>
    <t>YSL MYSLF EDP 100ml</t>
  </si>
  <si>
    <t>3614273852821</t>
  </si>
  <si>
    <t>YSL MYSLF EDP 60ml</t>
  </si>
  <si>
    <t>3700194700539</t>
  </si>
  <si>
    <t>3605972330383</t>
  </si>
  <si>
    <t>3700194711719</t>
  </si>
  <si>
    <t>3605970879730</t>
  </si>
  <si>
    <t>Kiehl's Calendula Deep Cleansing Foaming Face Wash 500ml</t>
  </si>
  <si>
    <t>3605970407964</t>
  </si>
  <si>
    <t>Kiehl's Facial Fuel Moisturizer 200ml</t>
  </si>
  <si>
    <t>4894374761997</t>
  </si>
  <si>
    <t>Kiehl's Oil Control Starter Set (Cream 50ml + Toner 250ml + Cleanser 150ml)</t>
  </si>
  <si>
    <t>3614273841023</t>
  </si>
  <si>
    <t>Lancome Teint Idole Ultra Wear Foundation #B-01 30ml</t>
  </si>
  <si>
    <t>3253581764695</t>
  </si>
  <si>
    <t>LOCCITANE ALMOND MILK CONCENTRATE 200ml</t>
  </si>
  <si>
    <t>3253581766880</t>
  </si>
  <si>
    <t>L'OccItane Verveine Gel Douche 500ml</t>
  </si>
  <si>
    <t>4953923313893
4953923313909</t>
  </si>
  <si>
    <t>4953923312377
4953923312346</t>
  </si>
  <si>
    <t>729238210455
729238210431</t>
  </si>
  <si>
    <t>4935421768962</t>
  </si>
  <si>
    <t xml:space="preserve">YSL TOUCHE ECL MESH CUSH #BR20 Refill </t>
  </si>
  <si>
    <t>3614274598889</t>
  </si>
  <si>
    <t>YSL Yves Saint Laurent Loveshine Lip Oil Stick #03</t>
  </si>
  <si>
    <t>3614274598896</t>
  </si>
  <si>
    <t>YSL Lovenude Lip Blusher #04 Red-Handed 3g</t>
  </si>
  <si>
    <t>3614226905154</t>
  </si>
  <si>
    <t>Burberry Black Style for Men EDT 100ml</t>
  </si>
  <si>
    <t>737052925073</t>
  </si>
  <si>
    <t>Gucci Bamboo EDP 50ml</t>
  </si>
  <si>
    <t>3474636403912</t>
  </si>
  <si>
    <t xml:space="preserve">Kerastase Densifique Bain DensIte Shampoo 250ml </t>
  </si>
  <si>
    <t>3474637219611</t>
  </si>
  <si>
    <t>Kerastase L'HUILE DE PARFUM REFILLABLE HAIR OIL 75ml</t>
  </si>
  <si>
    <t>3474636728268</t>
  </si>
  <si>
    <t>KERASTASE Chronologiste Bain Regenerant Youth Revitalizing Shampoo 250ml</t>
  </si>
  <si>
    <t>3474637288488</t>
  </si>
  <si>
    <t>Kerastase Chronologiste Bain Regenerant Shampoo 80ml</t>
  </si>
  <si>
    <t>3474636954766</t>
  </si>
  <si>
    <t>Kerastase BODY BAIN DIVALENT 250ml</t>
  </si>
  <si>
    <t>3474637319687</t>
  </si>
  <si>
    <t>Kerastase Genesis Fondant Renforcateur 75ml</t>
  </si>
  <si>
    <t>3474636858002</t>
  </si>
  <si>
    <t>KERASTASE GENESIS ANTI HAIR-FALL FORITFYING SERUM 90ml</t>
  </si>
  <si>
    <t>3474637319007</t>
  </si>
  <si>
    <t>Kerastase Premiere Anti-Breakage Repairing Filler Mask 75ml</t>
  </si>
  <si>
    <t>3614274776416</t>
  </si>
  <si>
    <t>Lancome L'Absolu Rouge Lipstick #212</t>
  </si>
  <si>
    <t>3666057287350</t>
  </si>
  <si>
    <t>Clarins Extra-Firming Day &amp; Night Set (Extra-Firming Day Cream 50ml + Extra-Firming Night Cream 50ml)</t>
  </si>
  <si>
    <t>887167778511</t>
  </si>
  <si>
    <t>Estee Lauder Revitalizing Supreme+ Skincare Set (Cream 50ml + Cleanser 30ml + ANR 15ml + Eye Balm 5ml)</t>
  </si>
  <si>
    <t>887167539549</t>
  </si>
  <si>
    <t>Estee Lauder RevItalizing Supreme+ Youth Power Creme 30ml</t>
  </si>
  <si>
    <t>887167496385</t>
  </si>
  <si>
    <t>Estee Lauder Double Wear Foundation SPF10 #1C0 30ml</t>
  </si>
  <si>
    <t>887167495203</t>
  </si>
  <si>
    <t>Estee Lauder  Double Wear Stay-in-Place Longwear Matte Foundation #1C1 30ml</t>
  </si>
  <si>
    <t>887167495463</t>
  </si>
  <si>
    <t>Estee Lauder Double Wear Stay-In-Place SPF10 #1N0 30ml</t>
  </si>
  <si>
    <t>887167495241</t>
  </si>
  <si>
    <t>Estee Lauder  Double Wear Stay-in-Place Longwear Matte Foundation #1N1 30ml</t>
  </si>
  <si>
    <t>887167495128</t>
  </si>
  <si>
    <t>Estee Lauder Double Wear Foundation SPF10 #1W2 30ml</t>
  </si>
  <si>
    <t>3346130009764</t>
  </si>
  <si>
    <t>Hermes Terre D´Hermes Deodorant Spray 150ml</t>
  </si>
  <si>
    <t>Kiehl's ULTRA FACIAL CREAM 125ml</t>
  </si>
  <si>
    <t>Kiehl's ULTRA FACIAL CREAM 50ml</t>
  </si>
  <si>
    <t>Kiehl's ULTRA FACIAL TONER 250ml</t>
  </si>
  <si>
    <t>Kiehl's ULTRA FACIAL MOISTURIZER 250ml</t>
  </si>
  <si>
    <t>Kiehl's CALENDULA DEEP CLEANSING FOAMING FACE WASH 230ml</t>
  </si>
  <si>
    <t>Kiehl's CALENDULA PETAL-INFUSED CALMING MASK 100ml</t>
  </si>
  <si>
    <t>Kiehl's CALENDULA HERBAL-EXTRACT TONER Alcohol-Free 500ml</t>
  </si>
  <si>
    <t>Kiehl's FACIAL FUEL ENERGIZING FACE WASH 250ml</t>
  </si>
  <si>
    <t>Kiehl's FACIAL FUEL 125ml</t>
  </si>
  <si>
    <t>747930009788</t>
  </si>
  <si>
    <t>La Mer The Body Creme 300ml</t>
  </si>
  <si>
    <t>3614274684001</t>
  </si>
  <si>
    <t>Lancome Genifique Ultimate Lotion 150ml</t>
  </si>
  <si>
    <t>3253581782316</t>
  </si>
  <si>
    <t>L'Occitane Rose Body Lotion 250ml</t>
  </si>
  <si>
    <t>3253581782286</t>
  </si>
  <si>
    <t>L'OccItane Rose Perfumed Shower Gel 250ml</t>
  </si>
  <si>
    <t>Pola B.A Oasis Light Powder 7.3g + Case</t>
  </si>
  <si>
    <t>Pola B.A Milk Facial Emulsion 80ml + B.A Facial Lotion 120ml</t>
  </si>
  <si>
    <t>729238222939</t>
  </si>
  <si>
    <t>Shiseido VITAL PERFECTION Intensive Wrinkle Spot Treatment 20ml</t>
  </si>
  <si>
    <t>888066024099</t>
  </si>
  <si>
    <t>TOM FORD OUD WOOD EDP 100ml</t>
  </si>
  <si>
    <t>729238210448
729238210462</t>
  </si>
  <si>
    <t>Shiseido Vital Perfection Bright Revitalizing Lotion Enriched 150ml + Vital Perfection Bright Revitalizing Emulsion Enriched 100ml</t>
  </si>
  <si>
    <t>Shiseido Vital Perfection Bright Revitalizing Emulsion 100ml + Vital Perfection Bright Revitalizing Lotion 150ml</t>
  </si>
  <si>
    <t>3614273945370</t>
  </si>
  <si>
    <t>YSL Rouge Pur Couture Lipstick #NM Nu Muse 3.8g</t>
  </si>
  <si>
    <t>4936968876202</t>
  </si>
  <si>
    <t>YSL Loveshine Lip Oil #01</t>
  </si>
  <si>
    <t>3616301975755</t>
  </si>
  <si>
    <t>Burberry PFM Her EDT for Women 100ml</t>
  </si>
  <si>
    <t>3614226905963</t>
  </si>
  <si>
    <t>Burberry My Burberry Eau De Parfum 90ml</t>
  </si>
  <si>
    <t>3346130417354</t>
  </si>
  <si>
    <t>Hermes La Collection Des Parfums Jardins Set (La Lagune 7.5ml + Le Jardin De Monsieur Li 7.5ml + Un Jardin Sur Le Nil 7.5ml + Un Jardin En Méditerranée 7.5ml)</t>
  </si>
  <si>
    <t>3346138900087</t>
  </si>
  <si>
    <t>Hermes Un Jardin Sur Le Nil EDT 100ml</t>
  </si>
  <si>
    <t>3346131101368</t>
  </si>
  <si>
    <t xml:space="preserve">Hermes Un Jardin sur Le Nil DUO 30ml*2 </t>
  </si>
  <si>
    <t>3346138900094</t>
  </si>
  <si>
    <t>Hermes Un Jardin Sur Le Nil EDT 50ml</t>
  </si>
  <si>
    <t>3700550216094</t>
  </si>
  <si>
    <t>Kilian ANGELS' SHARE REFILLABLE SPRAY 50ml</t>
  </si>
  <si>
    <t>2025</t>
    <phoneticPr fontId="22" type="noConversion"/>
  </si>
  <si>
    <t>2023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</si>
</sst>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_-[$$-409]* #,##0.0_ ;_-[$$-409]* \-#,##0.0\ ;_-[$$-409]* &quot;-&quot;??_ ;_-@_ "/>
    <numFmt numFmtId="177" formatCode="_-[$$-409]* #,##0.00_ ;_-[$$-409]* \-#,##0.00\ ;_-[$$-409]* &quot;-&quot;??_ ;_-@_ "/>
    <numFmt numFmtId="178" formatCode="_-[$USD]\ * #,##0.00_-;\-[$USD]\ * #,##0.00_-;_-[$USD]\ * &quot;-&quot;??_-;_-@_-"/>
    <numFmt numFmtId="179" formatCode="_-[$HKD]\ * #,##0_-;\-[$HKD]\ * #,##0_-;_-[$HKD]\ * &quot;-&quot;_-;_-@_-"/>
    <numFmt numFmtId="180" formatCode="_-[$HKD]\ * #,##0.00_-;\-[$HKD]\ * #,##0.00_-;_-[$HKD]\ * &quot;-&quot;??_-;_-@_-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B05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2"/>
      <scheme val="minor"/>
    </font>
    <font>
      <b/>
      <sz val="11"/>
      <color rgb="FFC00000"/>
      <name val="맑은 고딕"/>
      <family val="2"/>
      <scheme val="minor"/>
    </font>
    <font>
      <b/>
      <sz val="11"/>
      <color rgb="FF006100"/>
      <name val="맑은 고딕"/>
      <family val="2"/>
      <scheme val="minor"/>
    </font>
    <font>
      <sz val="11"/>
      <color rgb="FFC00000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sz val="12"/>
      <name val="宋体"/>
      <family val="3"/>
      <charset val="129"/>
    </font>
    <font>
      <sz val="10"/>
      <name val="Arial"/>
      <family val="2"/>
    </font>
    <font>
      <b/>
      <sz val="14"/>
      <color rgb="FFFF0000"/>
      <name val="맑은 고딕"/>
      <family val="2"/>
      <scheme val="minor"/>
    </font>
    <font>
      <b/>
      <sz val="14"/>
      <name val="맑은 고딕"/>
      <family val="2"/>
      <scheme val="minor"/>
    </font>
    <font>
      <sz val="14"/>
      <color rgb="FF00B050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14"/>
      <color rgb="FFFF0000"/>
      <name val="맑은 고딕"/>
      <family val="2"/>
      <scheme val="minor"/>
    </font>
    <font>
      <b/>
      <sz val="14"/>
      <color rgb="FFC00000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176" fontId="0" fillId="0" borderId="0"/>
    <xf numFmtId="176" fontId="5" fillId="2" borderId="0" applyNumberFormat="0" applyBorder="0" applyAlignment="0" applyProtection="0"/>
    <xf numFmtId="0" fontId="5" fillId="2" borderId="0" applyNumberFormat="0" applyBorder="0" applyAlignment="0" applyProtection="0"/>
    <xf numFmtId="43" fontId="8" fillId="0" borderId="0" applyFont="0" applyFill="0" applyBorder="0" applyAlignment="0" applyProtection="0"/>
    <xf numFmtId="0" fontId="14" fillId="0" borderId="0">
      <alignment vertical="center"/>
    </xf>
    <xf numFmtId="0" fontId="15" fillId="0" borderId="0"/>
    <xf numFmtId="41" fontId="8" fillId="0" borderId="0" applyFont="0" applyFill="0" applyBorder="0" applyAlignment="0" applyProtection="0"/>
    <xf numFmtId="0" fontId="2" fillId="0" borderId="0"/>
  </cellStyleXfs>
  <cellXfs count="84">
    <xf numFmtId="176" fontId="0" fillId="0" borderId="0" xfId="0"/>
    <xf numFmtId="176" fontId="4" fillId="0" borderId="0" xfId="0" applyFont="1" applyAlignment="1" applyProtection="1">
      <alignment vertical="center"/>
      <protection locked="0"/>
    </xf>
    <xf numFmtId="177" fontId="4" fillId="0" borderId="0" xfId="0" applyNumberFormat="1" applyFont="1"/>
    <xf numFmtId="177" fontId="7" fillId="0" borderId="0" xfId="0" applyNumberFormat="1" applyFont="1" applyAlignment="1" applyProtection="1">
      <alignment horizontal="center" vertical="center"/>
      <protection locked="0"/>
    </xf>
    <xf numFmtId="14" fontId="9" fillId="0" borderId="3" xfId="0" applyNumberFormat="1" applyFont="1" applyBorder="1" applyAlignment="1">
      <alignment horizontal="right" vertical="center"/>
    </xf>
    <xf numFmtId="176" fontId="13" fillId="0" borderId="5" xfId="0" applyFont="1" applyBorder="1" applyAlignment="1">
      <alignment horizontal="right" vertical="center"/>
    </xf>
    <xf numFmtId="1" fontId="10" fillId="0" borderId="0" xfId="0" applyNumberFormat="1" applyFont="1" applyAlignment="1">
      <alignment horizontal="left" vertical="center"/>
    </xf>
    <xf numFmtId="1" fontId="17" fillId="0" borderId="1" xfId="0" applyNumberFormat="1" applyFont="1" applyBorder="1" applyAlignment="1">
      <alignment horizontal="left" vertical="center"/>
    </xf>
    <xf numFmtId="1" fontId="20" fillId="0" borderId="0" xfId="0" applyNumberFormat="1" applyFont="1" applyAlignment="1" applyProtection="1">
      <alignment horizontal="center" vertical="center"/>
      <protection locked="0"/>
    </xf>
    <xf numFmtId="176" fontId="19" fillId="0" borderId="0" xfId="0" applyFont="1" applyAlignment="1">
      <alignment vertical="center"/>
    </xf>
    <xf numFmtId="14" fontId="17" fillId="0" borderId="1" xfId="0" applyNumberFormat="1" applyFont="1" applyBorder="1" applyAlignment="1">
      <alignment horizontal="right" vertical="center"/>
    </xf>
    <xf numFmtId="176" fontId="2" fillId="0" borderId="0" xfId="0" applyFont="1"/>
    <xf numFmtId="176" fontId="2" fillId="0" borderId="1" xfId="0" applyFont="1" applyBorder="1" applyAlignment="1">
      <alignment vertical="center"/>
    </xf>
    <xf numFmtId="176" fontId="2" fillId="0" borderId="0" xfId="0" applyFont="1" applyAlignment="1" applyProtection="1">
      <alignment vertical="center"/>
      <protection locked="0"/>
    </xf>
    <xf numFmtId="176" fontId="2" fillId="0" borderId="0" xfId="0" applyFont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177" fontId="3" fillId="3" borderId="8" xfId="0" applyNumberFormat="1" applyFont="1" applyFill="1" applyBorder="1" applyAlignment="1">
      <alignment horizontal="center" vertical="center" wrapText="1"/>
    </xf>
    <xf numFmtId="176" fontId="4" fillId="0" borderId="0" xfId="0" applyFont="1" applyAlignment="1" applyProtection="1">
      <alignment vertical="center" wrapText="1"/>
      <protection locked="0"/>
    </xf>
    <xf numFmtId="49" fontId="2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1" fontId="18" fillId="0" borderId="10" xfId="0" applyNumberFormat="1" applyFont="1" applyBorder="1" applyAlignment="1" applyProtection="1">
      <alignment horizontal="left" vertical="center"/>
      <protection locked="0"/>
    </xf>
    <xf numFmtId="177" fontId="6" fillId="0" borderId="10" xfId="0" applyNumberFormat="1" applyFont="1" applyBorder="1" applyAlignment="1" applyProtection="1">
      <alignment vertical="center" wrapText="1"/>
      <protection locked="0"/>
    </xf>
    <xf numFmtId="178" fontId="16" fillId="0" borderId="1" xfId="0" applyNumberFormat="1" applyFont="1" applyBorder="1" applyAlignment="1">
      <alignment horizontal="left" vertical="center" wrapText="1"/>
    </xf>
    <xf numFmtId="178" fontId="7" fillId="0" borderId="0" xfId="0" applyNumberFormat="1" applyFont="1" applyAlignment="1" applyProtection="1">
      <alignment horizontal="center" vertical="center"/>
      <protection locked="0"/>
    </xf>
    <xf numFmtId="178" fontId="2" fillId="0" borderId="0" xfId="0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3" fillId="0" borderId="8" xfId="0" applyNumberFormat="1" applyFon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/>
    </xf>
    <xf numFmtId="179" fontId="16" fillId="0" borderId="1" xfId="0" applyNumberFormat="1" applyFont="1" applyBorder="1" applyAlignment="1">
      <alignment vertical="center" wrapText="1"/>
    </xf>
    <xf numFmtId="179" fontId="6" fillId="0" borderId="10" xfId="0" applyNumberFormat="1" applyFont="1" applyBorder="1" applyAlignment="1" applyProtection="1">
      <alignment vertical="center" wrapText="1"/>
      <protection locked="0"/>
    </xf>
    <xf numFmtId="179" fontId="7" fillId="0" borderId="0" xfId="0" applyNumberFormat="1" applyFont="1" applyAlignment="1" applyProtection="1">
      <alignment horizontal="center" vertical="center"/>
      <protection locked="0"/>
    </xf>
    <xf numFmtId="179" fontId="2" fillId="0" borderId="2" xfId="0" applyNumberFormat="1" applyFont="1" applyBorder="1" applyAlignment="1">
      <alignment vertical="center"/>
    </xf>
    <xf numFmtId="179" fontId="2" fillId="0" borderId="4" xfId="0" applyNumberFormat="1" applyFont="1" applyBorder="1" applyAlignment="1">
      <alignment vertical="center"/>
    </xf>
    <xf numFmtId="179" fontId="2" fillId="0" borderId="0" xfId="0" applyNumberFormat="1" applyFont="1" applyAlignment="1">
      <alignment vertical="center"/>
    </xf>
    <xf numFmtId="179" fontId="19" fillId="0" borderId="0" xfId="0" applyNumberFormat="1" applyFont="1" applyAlignment="1">
      <alignment vertical="center"/>
    </xf>
    <xf numFmtId="179" fontId="3" fillId="3" borderId="8" xfId="0" applyNumberFormat="1" applyFont="1" applyFill="1" applyBorder="1" applyAlignment="1">
      <alignment horizontal="center" vertical="center" wrapText="1"/>
    </xf>
    <xf numFmtId="179" fontId="2" fillId="3" borderId="9" xfId="1" applyNumberFormat="1" applyFont="1" applyFill="1" applyBorder="1" applyAlignment="1" applyProtection="1">
      <alignment horizontal="center" vertical="center" shrinkToFit="1"/>
      <protection locked="0"/>
    </xf>
    <xf numFmtId="179" fontId="4" fillId="0" borderId="0" xfId="0" applyNumberFormat="1" applyFont="1"/>
    <xf numFmtId="178" fontId="2" fillId="3" borderId="9" xfId="1" applyNumberFormat="1" applyFont="1" applyFill="1" applyBorder="1" applyAlignment="1" applyProtection="1">
      <alignment horizontal="center" vertical="center" shrinkToFit="1"/>
      <protection locked="0"/>
    </xf>
    <xf numFmtId="178" fontId="11" fillId="2" borderId="6" xfId="3" applyNumberFormat="1" applyFont="1" applyFill="1" applyBorder="1" applyAlignment="1">
      <alignment horizontal="center" vertical="center"/>
    </xf>
    <xf numFmtId="176" fontId="16" fillId="0" borderId="1" xfId="0" applyFont="1" applyBorder="1" applyAlignment="1">
      <alignment vertical="center" wrapText="1"/>
    </xf>
    <xf numFmtId="176" fontId="19" fillId="0" borderId="0" xfId="0" applyFont="1" applyAlignment="1" applyProtection="1">
      <alignment vertical="center" wrapText="1"/>
      <protection locked="0"/>
    </xf>
    <xf numFmtId="176" fontId="20" fillId="0" borderId="0" xfId="0" applyFont="1" applyAlignment="1" applyProtection="1">
      <alignment horizontal="center" vertical="center" wrapText="1"/>
      <protection locked="0"/>
    </xf>
    <xf numFmtId="176" fontId="21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176" fontId="4" fillId="0" borderId="0" xfId="0" applyFont="1" applyAlignment="1">
      <alignment horizontal="left" wrapText="1"/>
    </xf>
    <xf numFmtId="178" fontId="6" fillId="0" borderId="13" xfId="0" applyNumberFormat="1" applyFont="1" applyBorder="1" applyAlignment="1" applyProtection="1">
      <alignment horizontal="center" vertical="center" wrapText="1"/>
      <protection locked="0"/>
    </xf>
    <xf numFmtId="178" fontId="4" fillId="0" borderId="14" xfId="0" applyNumberFormat="1" applyFont="1" applyBorder="1" applyAlignment="1">
      <alignment horizontal="center" vertical="center"/>
    </xf>
    <xf numFmtId="180" fontId="16" fillId="0" borderId="1" xfId="0" applyNumberFormat="1" applyFont="1" applyBorder="1" applyAlignment="1">
      <alignment horizontal="left" vertical="center" wrapText="1"/>
    </xf>
    <xf numFmtId="180" fontId="6" fillId="0" borderId="10" xfId="0" applyNumberFormat="1" applyFont="1" applyBorder="1" applyAlignment="1" applyProtection="1">
      <alignment horizontal="center" vertical="center" wrapText="1"/>
      <protection locked="0"/>
    </xf>
    <xf numFmtId="180" fontId="7" fillId="0" borderId="0" xfId="0" applyNumberFormat="1" applyFont="1" applyAlignment="1" applyProtection="1">
      <alignment horizontal="center" vertical="center"/>
      <protection locked="0"/>
    </xf>
    <xf numFmtId="180" fontId="2" fillId="0" borderId="0" xfId="0" applyNumberFormat="1" applyFont="1" applyAlignment="1">
      <alignment vertical="center"/>
    </xf>
    <xf numFmtId="180" fontId="19" fillId="0" borderId="0" xfId="0" applyNumberFormat="1" applyFont="1" applyAlignment="1">
      <alignment vertical="center"/>
    </xf>
    <xf numFmtId="180" fontId="11" fillId="0" borderId="6" xfId="2" applyNumberFormat="1" applyFont="1" applyFill="1" applyBorder="1" applyAlignment="1">
      <alignment horizontal="center" vertical="center"/>
    </xf>
    <xf numFmtId="180" fontId="3" fillId="0" borderId="8" xfId="0" applyNumberFormat="1" applyFont="1" applyBorder="1" applyAlignment="1">
      <alignment horizontal="center" vertical="center" wrapText="1"/>
    </xf>
    <xf numFmtId="180" fontId="4" fillId="0" borderId="12" xfId="0" applyNumberFormat="1" applyFont="1" applyBorder="1" applyAlignment="1">
      <alignment horizontal="center" vertical="center"/>
    </xf>
    <xf numFmtId="180" fontId="4" fillId="0" borderId="0" xfId="0" applyNumberFormat="1" applyFont="1" applyAlignment="1">
      <alignment horizontal="center"/>
    </xf>
    <xf numFmtId="180" fontId="11" fillId="2" borderId="6" xfId="3" applyNumberFormat="1" applyFont="1" applyFill="1" applyBorder="1" applyAlignment="1">
      <alignment horizontal="center" vertical="center"/>
    </xf>
    <xf numFmtId="0" fontId="2" fillId="0" borderId="7" xfId="6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 wrapText="1"/>
      <protection locked="0"/>
    </xf>
    <xf numFmtId="49" fontId="20" fillId="0" borderId="0" xfId="0" applyNumberFormat="1" applyFont="1" applyAlignment="1" applyProtection="1">
      <alignment horizontal="center" vertical="center" wrapText="1"/>
      <protection locked="0"/>
    </xf>
    <xf numFmtId="49" fontId="2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wrapText="1"/>
    </xf>
    <xf numFmtId="176" fontId="4" fillId="0" borderId="7" xfId="0" applyFont="1" applyBorder="1" applyAlignment="1">
      <alignment horizontal="left" vertical="center" wrapText="1"/>
    </xf>
    <xf numFmtId="49" fontId="23" fillId="0" borderId="1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1" fontId="16" fillId="0" borderId="1" xfId="6" applyNumberFormat="1" applyFont="1" applyBorder="1" applyAlignment="1">
      <alignment horizontal="center" vertical="center" wrapText="1"/>
    </xf>
    <xf numFmtId="1" fontId="6" fillId="0" borderId="10" xfId="6" applyNumberFormat="1" applyFont="1" applyBorder="1" applyAlignment="1" applyProtection="1">
      <alignment horizontal="center" vertical="center" wrapText="1"/>
      <protection locked="0"/>
    </xf>
    <xf numFmtId="1" fontId="7" fillId="0" borderId="0" xfId="6" applyNumberFormat="1" applyFont="1" applyAlignment="1" applyProtection="1">
      <alignment horizontal="center" vertical="center"/>
      <protection locked="0"/>
    </xf>
    <xf numFmtId="1" fontId="2" fillId="0" borderId="0" xfId="6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1" fontId="3" fillId="0" borderId="8" xfId="6" applyNumberFormat="1" applyFont="1" applyBorder="1" applyAlignment="1">
      <alignment horizontal="center" vertical="center" wrapText="1"/>
    </xf>
    <xf numFmtId="1" fontId="4" fillId="0" borderId="0" xfId="6" applyNumberFormat="1" applyFont="1" applyAlignment="1">
      <alignment horizontal="center"/>
    </xf>
    <xf numFmtId="176" fontId="16" fillId="0" borderId="1" xfId="0" applyFont="1" applyBorder="1" applyAlignment="1">
      <alignment horizontal="center" vertical="center" wrapText="1"/>
    </xf>
    <xf numFmtId="176" fontId="6" fillId="0" borderId="10" xfId="0" applyFont="1" applyBorder="1" applyAlignment="1" applyProtection="1">
      <alignment horizontal="center" vertical="center" wrapText="1"/>
      <protection locked="0"/>
    </xf>
    <xf numFmtId="176" fontId="7" fillId="0" borderId="0" xfId="0" applyFont="1" applyAlignment="1" applyProtection="1">
      <alignment horizontal="center" vertical="center"/>
      <protection locked="0"/>
    </xf>
    <xf numFmtId="176" fontId="2" fillId="0" borderId="0" xfId="0" applyFont="1" applyAlignment="1">
      <alignment horizontal="center" vertical="center"/>
    </xf>
    <xf numFmtId="176" fontId="11" fillId="2" borderId="6" xfId="3" applyNumberFormat="1" applyFont="1" applyFill="1" applyBorder="1" applyAlignment="1">
      <alignment horizontal="center" vertical="center"/>
    </xf>
    <xf numFmtId="176" fontId="3" fillId="3" borderId="8" xfId="0" applyFont="1" applyFill="1" applyBorder="1" applyAlignment="1">
      <alignment horizontal="center" vertical="center" wrapText="1"/>
    </xf>
    <xf numFmtId="176" fontId="4" fillId="0" borderId="0" xfId="0" applyFont="1" applyAlignment="1">
      <alignment horizontal="center"/>
    </xf>
    <xf numFmtId="176" fontId="1" fillId="3" borderId="11" xfId="1" applyNumberFormat="1" applyFont="1" applyFill="1" applyBorder="1" applyAlignment="1" applyProtection="1">
      <alignment horizontal="center" vertical="center" shrinkToFit="1"/>
      <protection locked="0"/>
    </xf>
  </cellXfs>
  <cellStyles count="8">
    <cellStyle name="Comma [0]" xfId="6" builtinId="6"/>
    <cellStyle name="Good" xfId="1" builtinId="26"/>
    <cellStyle name="Normal" xfId="0" builtinId="0"/>
    <cellStyle name="Normal 2" xfId="5" xr:uid="{AC4D5AED-D9F8-4C21-8A1A-B8AE4E9E3220}"/>
    <cellStyle name="Normal 6" xfId="7" xr:uid="{900EB8BD-2A01-4143-A435-3B0830C3A733}"/>
    <cellStyle name="一般 2" xfId="4" xr:uid="{32F8B778-DF7E-4B52-A951-4A9FB5519F3A}"/>
    <cellStyle name="千分位 2" xfId="3" xr:uid="{FD33C632-9057-44EB-B50D-655EFFBE41BC}"/>
    <cellStyle name="好 2" xfId="2" xr:uid="{ED4B3F92-D3AD-40C7-866C-C4D6EA6039AC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A7A2-D3EB-4DFD-9CB9-A40FC37D30C5}">
  <sheetPr>
    <pageSetUpPr fitToPage="1"/>
  </sheetPr>
  <dimension ref="A1:I689"/>
  <sheetViews>
    <sheetView showGridLines="0" showZeros="0" tabSelected="1" zoomScale="85" zoomScaleNormal="85" workbookViewId="0">
      <pane ySplit="10" topLeftCell="A11" activePane="bottomLeft" state="frozen"/>
      <selection pane="bottomLeft" activeCell="B15" sqref="B15"/>
    </sheetView>
  </sheetViews>
  <sheetFormatPr defaultColWidth="9" defaultRowHeight="17.399999999999999"/>
  <cols>
    <col min="1" max="1" width="23.8984375" style="20" customWidth="1"/>
    <col min="2" max="2" width="86.09765625" style="46" customWidth="1"/>
    <col min="3" max="3" width="19.09765625" style="65" bestFit="1" customWidth="1"/>
    <col min="4" max="4" width="19.09765625" style="75" bestFit="1" customWidth="1"/>
    <col min="5" max="5" width="20.09765625" style="57" bestFit="1" customWidth="1"/>
    <col min="6" max="6" width="20.09765625" style="28" bestFit="1" customWidth="1"/>
    <col min="7" max="7" width="19.3984375" style="82" bestFit="1" customWidth="1"/>
    <col min="8" max="8" width="17.8984375" style="38" customWidth="1"/>
    <col min="9" max="9" width="17.8984375" style="2" customWidth="1"/>
    <col min="10" max="16384" width="9" style="11"/>
  </cols>
  <sheetData>
    <row r="1" spans="1:9" s="12" customFormat="1" ht="18.75" customHeight="1">
      <c r="A1" s="7" t="s">
        <v>4</v>
      </c>
      <c r="B1" s="41"/>
      <c r="C1" s="60"/>
      <c r="D1" s="69"/>
      <c r="E1" s="49"/>
      <c r="F1" s="23"/>
      <c r="G1" s="76"/>
      <c r="H1" s="29"/>
      <c r="I1" s="10">
        <v>46230</v>
      </c>
    </row>
    <row r="2" spans="1:9" s="13" customFormat="1" ht="18.75" customHeight="1">
      <c r="A2" s="21" t="s">
        <v>2</v>
      </c>
      <c r="B2" s="42"/>
      <c r="C2" s="61"/>
      <c r="D2" s="70"/>
      <c r="E2" s="50"/>
      <c r="F2" s="47"/>
      <c r="G2" s="77"/>
      <c r="H2" s="30"/>
      <c r="I2" s="22" t="s">
        <v>6</v>
      </c>
    </row>
    <row r="3" spans="1:9" s="13" customFormat="1" ht="21.6" thickBot="1">
      <c r="A3" s="8"/>
      <c r="B3" s="43"/>
      <c r="C3" s="62"/>
      <c r="D3" s="71"/>
      <c r="E3" s="51"/>
      <c r="F3" s="24"/>
      <c r="G3" s="78"/>
      <c r="H3" s="31"/>
      <c r="I3" s="3"/>
    </row>
    <row r="4" spans="1:9" s="14" customFormat="1" ht="18.75" customHeight="1" thickTop="1">
      <c r="A4" s="6" t="s">
        <v>13</v>
      </c>
      <c r="B4" s="44" t="s">
        <v>19</v>
      </c>
      <c r="C4" s="63"/>
      <c r="D4" s="72"/>
      <c r="E4" s="52"/>
      <c r="F4" s="25"/>
      <c r="G4" s="79"/>
      <c r="H4" s="32"/>
      <c r="I4" s="4" t="s">
        <v>7</v>
      </c>
    </row>
    <row r="5" spans="1:9" s="14" customFormat="1" ht="18.75" customHeight="1" thickBot="1">
      <c r="A5" s="6" t="s">
        <v>10</v>
      </c>
      <c r="B5" s="44" t="s">
        <v>20</v>
      </c>
      <c r="C5" s="63"/>
      <c r="D5" s="72"/>
      <c r="E5" s="52"/>
      <c r="F5" s="25"/>
      <c r="G5" s="79"/>
      <c r="H5" s="33"/>
      <c r="I5" s="5" t="s">
        <v>8</v>
      </c>
    </row>
    <row r="6" spans="1:9" s="14" customFormat="1" ht="18.75" customHeight="1" thickTop="1">
      <c r="A6" s="6" t="s">
        <v>11</v>
      </c>
      <c r="B6" s="44" t="s">
        <v>21</v>
      </c>
      <c r="C6" s="63"/>
      <c r="D6" s="72"/>
      <c r="E6" s="52"/>
      <c r="F6" s="25"/>
      <c r="G6" s="79"/>
      <c r="H6" s="34"/>
    </row>
    <row r="7" spans="1:9" s="14" customFormat="1" ht="18.75" customHeight="1" thickBot="1">
      <c r="A7" s="6" t="s">
        <v>12</v>
      </c>
      <c r="B7" s="44" t="s">
        <v>22</v>
      </c>
      <c r="C7" s="63"/>
      <c r="D7" s="72"/>
      <c r="E7" s="53"/>
      <c r="F7" s="26"/>
      <c r="G7" s="79"/>
      <c r="H7" s="35"/>
      <c r="I7" s="9"/>
    </row>
    <row r="8" spans="1:9" s="14" customFormat="1" ht="22.2" thickTop="1" thickBot="1">
      <c r="A8" s="6" t="s">
        <v>14</v>
      </c>
      <c r="B8" s="44" t="s">
        <v>23</v>
      </c>
      <c r="C8" s="63"/>
      <c r="D8" s="72"/>
      <c r="E8" s="52"/>
      <c r="F8" s="54" t="s">
        <v>9</v>
      </c>
      <c r="G8" s="80">
        <f>SUM(G11:G1048576)</f>
        <v>0</v>
      </c>
      <c r="H8" s="58">
        <f>SUM(H11:H1048576)</f>
        <v>0</v>
      </c>
      <c r="I8" s="40">
        <f>SUM(I11:I1048576)</f>
        <v>0</v>
      </c>
    </row>
    <row r="9" spans="1:9" s="14" customFormat="1" ht="18" thickTop="1">
      <c r="A9" s="15"/>
      <c r="B9" s="45"/>
      <c r="C9" s="64"/>
      <c r="D9" s="73"/>
      <c r="E9" s="52"/>
      <c r="F9" s="25"/>
      <c r="G9" s="79"/>
      <c r="H9" s="34"/>
    </row>
    <row r="10" spans="1:9" s="18" customFormat="1" ht="42" customHeight="1">
      <c r="A10" s="16" t="s">
        <v>1</v>
      </c>
      <c r="B10" s="16" t="s">
        <v>16</v>
      </c>
      <c r="C10" s="67" t="s">
        <v>24</v>
      </c>
      <c r="D10" s="74" t="s">
        <v>0</v>
      </c>
      <c r="E10" s="55" t="s">
        <v>18</v>
      </c>
      <c r="F10" s="27" t="s">
        <v>17</v>
      </c>
      <c r="G10" s="81" t="s">
        <v>15</v>
      </c>
      <c r="H10" s="36" t="s">
        <v>3</v>
      </c>
      <c r="I10" s="17" t="s">
        <v>5</v>
      </c>
    </row>
    <row r="11" spans="1:9" s="1" customFormat="1" ht="34.5" customHeight="1">
      <c r="A11" s="19" t="s">
        <v>1040</v>
      </c>
      <c r="B11" s="66" t="s">
        <v>1248</v>
      </c>
      <c r="C11" s="68"/>
      <c r="D11" s="59">
        <v>1000</v>
      </c>
      <c r="E11" s="56">
        <v>885</v>
      </c>
      <c r="F11" s="48">
        <v>115</v>
      </c>
      <c r="G11" s="83"/>
      <c r="H11" s="37">
        <f>E11*G11</f>
        <v>0</v>
      </c>
      <c r="I11" s="39">
        <f>G11*F11</f>
        <v>0</v>
      </c>
    </row>
    <row r="12" spans="1:9" s="1" customFormat="1" ht="34.5" customHeight="1">
      <c r="A12" s="19" t="s">
        <v>644</v>
      </c>
      <c r="B12" s="66" t="s">
        <v>1247</v>
      </c>
      <c r="C12" s="68"/>
      <c r="D12" s="59">
        <v>1500</v>
      </c>
      <c r="E12" s="56">
        <v>680</v>
      </c>
      <c r="F12" s="48">
        <v>88.399999999999991</v>
      </c>
      <c r="G12" s="83"/>
      <c r="H12" s="37">
        <f>E12*G12</f>
        <v>0</v>
      </c>
      <c r="I12" s="39">
        <f>G12*F12</f>
        <v>0</v>
      </c>
    </row>
    <row r="13" spans="1:9" s="1" customFormat="1" ht="34.5" customHeight="1">
      <c r="A13" s="19" t="s">
        <v>642</v>
      </c>
      <c r="B13" s="66" t="s">
        <v>643</v>
      </c>
      <c r="C13" s="68"/>
      <c r="D13" s="59">
        <v>1500</v>
      </c>
      <c r="E13" s="56">
        <v>680</v>
      </c>
      <c r="F13" s="48">
        <v>88.399999999999991</v>
      </c>
      <c r="G13" s="83"/>
      <c r="H13" s="37">
        <f>E13*G13</f>
        <v>0</v>
      </c>
      <c r="I13" s="39">
        <f>G13*F13</f>
        <v>0</v>
      </c>
    </row>
    <row r="14" spans="1:9" s="1" customFormat="1" ht="34.5" customHeight="1">
      <c r="A14" s="19" t="s">
        <v>599</v>
      </c>
      <c r="B14" s="66" t="s">
        <v>1246</v>
      </c>
      <c r="C14" s="68"/>
      <c r="D14" s="59">
        <v>1100</v>
      </c>
      <c r="E14" s="56">
        <v>670</v>
      </c>
      <c r="F14" s="48">
        <v>87.1</v>
      </c>
      <c r="G14" s="83"/>
      <c r="H14" s="37">
        <f>E14*G14</f>
        <v>0</v>
      </c>
      <c r="I14" s="39">
        <f>G14*F14</f>
        <v>0</v>
      </c>
    </row>
    <row r="15" spans="1:9" s="1" customFormat="1" ht="34.5" customHeight="1">
      <c r="A15" s="19" t="s">
        <v>169</v>
      </c>
      <c r="B15" s="66" t="s">
        <v>170</v>
      </c>
      <c r="C15" s="68"/>
      <c r="D15" s="59">
        <v>500</v>
      </c>
      <c r="E15" s="56">
        <v>102</v>
      </c>
      <c r="F15" s="48">
        <v>13.299999999999999</v>
      </c>
      <c r="G15" s="83"/>
      <c r="H15" s="37">
        <f>E15*G15</f>
        <v>0</v>
      </c>
      <c r="I15" s="39">
        <f>G15*F15</f>
        <v>0</v>
      </c>
    </row>
    <row r="16" spans="1:9" s="1" customFormat="1" ht="34.5" customHeight="1">
      <c r="A16" s="19" t="s">
        <v>171</v>
      </c>
      <c r="B16" s="66" t="s">
        <v>172</v>
      </c>
      <c r="C16" s="68"/>
      <c r="D16" s="59">
        <v>500</v>
      </c>
      <c r="E16" s="56">
        <v>92</v>
      </c>
      <c r="F16" s="48">
        <v>12</v>
      </c>
      <c r="G16" s="83"/>
      <c r="H16" s="37">
        <f>E16*G16</f>
        <v>0</v>
      </c>
      <c r="I16" s="39">
        <f>G16*F16</f>
        <v>0</v>
      </c>
    </row>
    <row r="17" spans="1:9" s="1" customFormat="1" ht="34.5" customHeight="1">
      <c r="A17" s="19" t="s">
        <v>173</v>
      </c>
      <c r="B17" s="66" t="s">
        <v>174</v>
      </c>
      <c r="C17" s="68"/>
      <c r="D17" s="59">
        <v>190</v>
      </c>
      <c r="E17" s="56">
        <v>210</v>
      </c>
      <c r="F17" s="48">
        <v>27.3</v>
      </c>
      <c r="G17" s="83"/>
      <c r="H17" s="37">
        <f>E17*G17</f>
        <v>0</v>
      </c>
      <c r="I17" s="39">
        <f>G17*F17</f>
        <v>0</v>
      </c>
    </row>
    <row r="18" spans="1:9" s="1" customFormat="1" ht="34.5" customHeight="1">
      <c r="A18" s="19" t="s">
        <v>1108</v>
      </c>
      <c r="B18" s="66" t="s">
        <v>1125</v>
      </c>
      <c r="C18" s="68"/>
      <c r="D18" s="59">
        <v>900</v>
      </c>
      <c r="E18" s="56">
        <v>405</v>
      </c>
      <c r="F18" s="48">
        <v>52.6</v>
      </c>
      <c r="G18" s="83"/>
      <c r="H18" s="37">
        <f>E18*G18</f>
        <v>0</v>
      </c>
      <c r="I18" s="39">
        <f>G18*F18</f>
        <v>0</v>
      </c>
    </row>
    <row r="19" spans="1:9" s="1" customFormat="1" ht="34.5" customHeight="1">
      <c r="A19" s="19" t="s">
        <v>1109</v>
      </c>
      <c r="B19" s="66" t="s">
        <v>1126</v>
      </c>
      <c r="C19" s="68"/>
      <c r="D19" s="59">
        <v>600</v>
      </c>
      <c r="E19" s="56">
        <v>915</v>
      </c>
      <c r="F19" s="48">
        <v>118.89999999999999</v>
      </c>
      <c r="G19" s="83"/>
      <c r="H19" s="37">
        <f>E19*G19</f>
        <v>0</v>
      </c>
      <c r="I19" s="39">
        <f>G19*F19</f>
        <v>0</v>
      </c>
    </row>
    <row r="20" spans="1:9" s="1" customFormat="1" ht="34.5" customHeight="1">
      <c r="A20" s="19" t="s">
        <v>175</v>
      </c>
      <c r="B20" s="66" t="s">
        <v>176</v>
      </c>
      <c r="C20" s="68"/>
      <c r="D20" s="59">
        <v>1600</v>
      </c>
      <c r="E20" s="56">
        <v>350</v>
      </c>
      <c r="F20" s="48">
        <v>45.5</v>
      </c>
      <c r="G20" s="83"/>
      <c r="H20" s="37">
        <f>E20*G20</f>
        <v>0</v>
      </c>
      <c r="I20" s="39">
        <f>G20*F20</f>
        <v>0</v>
      </c>
    </row>
    <row r="21" spans="1:9" s="1" customFormat="1" ht="34.5" customHeight="1">
      <c r="A21" s="19" t="s">
        <v>586</v>
      </c>
      <c r="B21" s="66" t="s">
        <v>776</v>
      </c>
      <c r="C21" s="68"/>
      <c r="D21" s="59">
        <v>500</v>
      </c>
      <c r="E21" s="56">
        <v>305</v>
      </c>
      <c r="F21" s="48">
        <v>39.700000000000003</v>
      </c>
      <c r="G21" s="83"/>
      <c r="H21" s="37">
        <f>E21*G21</f>
        <v>0</v>
      </c>
      <c r="I21" s="39">
        <f>G21*F21</f>
        <v>0</v>
      </c>
    </row>
    <row r="22" spans="1:9" s="1" customFormat="1" ht="34.5" customHeight="1">
      <c r="A22" s="19" t="s">
        <v>1139</v>
      </c>
      <c r="B22" s="66" t="s">
        <v>1140</v>
      </c>
      <c r="C22" s="68"/>
      <c r="D22" s="59">
        <v>2000</v>
      </c>
      <c r="E22" s="56">
        <v>233</v>
      </c>
      <c r="F22" s="48">
        <v>30.3</v>
      </c>
      <c r="G22" s="83"/>
      <c r="H22" s="37">
        <f>E22*G22</f>
        <v>0</v>
      </c>
      <c r="I22" s="39">
        <f>G22*F22</f>
        <v>0</v>
      </c>
    </row>
    <row r="23" spans="1:9" s="1" customFormat="1" ht="34.5" customHeight="1">
      <c r="A23" s="19" t="s">
        <v>475</v>
      </c>
      <c r="B23" s="66" t="s">
        <v>476</v>
      </c>
      <c r="C23" s="68"/>
      <c r="D23" s="59">
        <v>2000</v>
      </c>
      <c r="E23" s="56">
        <v>233</v>
      </c>
      <c r="F23" s="48">
        <v>30.3</v>
      </c>
      <c r="G23" s="83"/>
      <c r="H23" s="37">
        <f>E23*G23</f>
        <v>0</v>
      </c>
      <c r="I23" s="39">
        <f>G23*F23</f>
        <v>0</v>
      </c>
    </row>
    <row r="24" spans="1:9" s="1" customFormat="1" ht="34.5" customHeight="1">
      <c r="A24" s="19" t="s">
        <v>835</v>
      </c>
      <c r="B24" s="66" t="s">
        <v>1141</v>
      </c>
      <c r="C24" s="68"/>
      <c r="D24" s="59">
        <v>200</v>
      </c>
      <c r="E24" s="56">
        <v>210</v>
      </c>
      <c r="F24" s="48">
        <v>27.3</v>
      </c>
      <c r="G24" s="83"/>
      <c r="H24" s="37">
        <f>E24*G24</f>
        <v>0</v>
      </c>
      <c r="I24" s="39">
        <f>G24*F24</f>
        <v>0</v>
      </c>
    </row>
    <row r="25" spans="1:9" s="1" customFormat="1" ht="34.5" customHeight="1">
      <c r="A25" s="19" t="s">
        <v>1295</v>
      </c>
      <c r="B25" s="66" t="s">
        <v>1296</v>
      </c>
      <c r="C25" s="68"/>
      <c r="D25" s="59">
        <v>900</v>
      </c>
      <c r="E25" s="56">
        <v>200</v>
      </c>
      <c r="F25" s="48">
        <v>26</v>
      </c>
      <c r="G25" s="83"/>
      <c r="H25" s="37">
        <f>E25*G25</f>
        <v>0</v>
      </c>
      <c r="I25" s="39">
        <f>G25*F25</f>
        <v>0</v>
      </c>
    </row>
    <row r="26" spans="1:9" s="1" customFormat="1" ht="34.5" customHeight="1">
      <c r="A26" s="19" t="s">
        <v>871</v>
      </c>
      <c r="B26" s="66" t="s">
        <v>872</v>
      </c>
      <c r="C26" s="68"/>
      <c r="D26" s="59">
        <v>3000</v>
      </c>
      <c r="E26" s="56">
        <v>162</v>
      </c>
      <c r="F26" s="48">
        <v>21.1</v>
      </c>
      <c r="G26" s="83"/>
      <c r="H26" s="37">
        <f>E26*G26</f>
        <v>0</v>
      </c>
      <c r="I26" s="39">
        <f>G26*F26</f>
        <v>0</v>
      </c>
    </row>
    <row r="27" spans="1:9" s="1" customFormat="1" ht="34.5" customHeight="1">
      <c r="A27" s="19" t="s">
        <v>1123</v>
      </c>
      <c r="B27" s="66" t="s">
        <v>1142</v>
      </c>
      <c r="C27" s="68"/>
      <c r="D27" s="59">
        <v>2000</v>
      </c>
      <c r="E27" s="56">
        <v>140</v>
      </c>
      <c r="F27" s="48">
        <v>18.200000000000003</v>
      </c>
      <c r="G27" s="83"/>
      <c r="H27" s="37">
        <f>E27*G27</f>
        <v>0</v>
      </c>
      <c r="I27" s="39">
        <f>G27*F27</f>
        <v>0</v>
      </c>
    </row>
    <row r="28" spans="1:9" s="1" customFormat="1" ht="34.5" customHeight="1">
      <c r="A28" s="19" t="s">
        <v>792</v>
      </c>
      <c r="B28" s="66" t="s">
        <v>793</v>
      </c>
      <c r="C28" s="68"/>
      <c r="D28" s="59">
        <v>1400</v>
      </c>
      <c r="E28" s="56">
        <v>106</v>
      </c>
      <c r="F28" s="48">
        <v>13.799999999999999</v>
      </c>
      <c r="G28" s="83"/>
      <c r="H28" s="37">
        <f>E28*G28</f>
        <v>0</v>
      </c>
      <c r="I28" s="39">
        <f>G28*F28</f>
        <v>0</v>
      </c>
    </row>
    <row r="29" spans="1:9" s="1" customFormat="1" ht="34.5" customHeight="1">
      <c r="A29" s="19" t="s">
        <v>873</v>
      </c>
      <c r="B29" s="66" t="s">
        <v>1143</v>
      </c>
      <c r="C29" s="68"/>
      <c r="D29" s="59">
        <v>3000</v>
      </c>
      <c r="E29" s="56">
        <v>450</v>
      </c>
      <c r="F29" s="48">
        <v>58.5</v>
      </c>
      <c r="G29" s="83"/>
      <c r="H29" s="37">
        <f>E29*G29</f>
        <v>0</v>
      </c>
      <c r="I29" s="39">
        <f>G29*F29</f>
        <v>0</v>
      </c>
    </row>
    <row r="30" spans="1:9" s="1" customFormat="1" ht="34.5" customHeight="1">
      <c r="A30" s="19" t="s">
        <v>802</v>
      </c>
      <c r="B30" s="66" t="s">
        <v>1144</v>
      </c>
      <c r="C30" s="68"/>
      <c r="D30" s="59">
        <v>1500</v>
      </c>
      <c r="E30" s="56">
        <v>404</v>
      </c>
      <c r="F30" s="48">
        <v>52.5</v>
      </c>
      <c r="G30" s="83"/>
      <c r="H30" s="37">
        <f>E30*G30</f>
        <v>0</v>
      </c>
      <c r="I30" s="39">
        <f>G30*F30</f>
        <v>0</v>
      </c>
    </row>
    <row r="31" spans="1:9" s="1" customFormat="1" ht="34.5" customHeight="1">
      <c r="A31" s="19" t="s">
        <v>787</v>
      </c>
      <c r="B31" s="66" t="s">
        <v>788</v>
      </c>
      <c r="C31" s="68"/>
      <c r="D31" s="59">
        <v>4800</v>
      </c>
      <c r="E31" s="56">
        <v>355</v>
      </c>
      <c r="F31" s="48">
        <v>46.2</v>
      </c>
      <c r="G31" s="83"/>
      <c r="H31" s="37">
        <f>E31*G31</f>
        <v>0</v>
      </c>
      <c r="I31" s="39">
        <f>G31*F31</f>
        <v>0</v>
      </c>
    </row>
    <row r="32" spans="1:9" s="1" customFormat="1" ht="34.5" customHeight="1">
      <c r="A32" s="19" t="s">
        <v>371</v>
      </c>
      <c r="B32" s="66" t="s">
        <v>372</v>
      </c>
      <c r="C32" s="68"/>
      <c r="D32" s="59">
        <v>1700</v>
      </c>
      <c r="E32" s="56">
        <v>269</v>
      </c>
      <c r="F32" s="48">
        <v>35</v>
      </c>
      <c r="G32" s="83"/>
      <c r="H32" s="37">
        <f>E32*G32</f>
        <v>0</v>
      </c>
      <c r="I32" s="39">
        <f>G32*F32</f>
        <v>0</v>
      </c>
    </row>
    <row r="33" spans="1:9" s="1" customFormat="1" ht="34.5" customHeight="1">
      <c r="A33" s="19" t="s">
        <v>1367</v>
      </c>
      <c r="B33" s="66" t="s">
        <v>1368</v>
      </c>
      <c r="C33" s="68"/>
      <c r="D33" s="59">
        <v>800</v>
      </c>
      <c r="E33" s="56">
        <v>340</v>
      </c>
      <c r="F33" s="48">
        <v>44.2</v>
      </c>
      <c r="G33" s="83"/>
      <c r="H33" s="37">
        <f>E33*G33</f>
        <v>0</v>
      </c>
      <c r="I33" s="39">
        <f>G33*F33</f>
        <v>0</v>
      </c>
    </row>
    <row r="34" spans="1:9" s="1" customFormat="1" ht="34.5" customHeight="1">
      <c r="A34" s="19" t="s">
        <v>805</v>
      </c>
      <c r="B34" s="66" t="s">
        <v>806</v>
      </c>
      <c r="C34" s="68"/>
      <c r="D34" s="59">
        <v>3000</v>
      </c>
      <c r="E34" s="56">
        <v>269</v>
      </c>
      <c r="F34" s="48">
        <v>35</v>
      </c>
      <c r="G34" s="83"/>
      <c r="H34" s="37">
        <f>E34*G34</f>
        <v>0</v>
      </c>
      <c r="I34" s="39">
        <f>G34*F34</f>
        <v>0</v>
      </c>
    </row>
    <row r="35" spans="1:9" s="1" customFormat="1" ht="34.5" customHeight="1">
      <c r="A35" s="19" t="s">
        <v>369</v>
      </c>
      <c r="B35" s="66" t="s">
        <v>370</v>
      </c>
      <c r="C35" s="68"/>
      <c r="D35" s="59">
        <v>2400</v>
      </c>
      <c r="E35" s="56">
        <v>200</v>
      </c>
      <c r="F35" s="48">
        <v>26</v>
      </c>
      <c r="G35" s="83"/>
      <c r="H35" s="37">
        <f>E35*G35</f>
        <v>0</v>
      </c>
      <c r="I35" s="39">
        <f>G35*F35</f>
        <v>0</v>
      </c>
    </row>
    <row r="36" spans="1:9" s="1" customFormat="1" ht="34.5" customHeight="1">
      <c r="A36" s="19" t="s">
        <v>1124</v>
      </c>
      <c r="B36" s="66" t="s">
        <v>1138</v>
      </c>
      <c r="C36" s="68"/>
      <c r="D36" s="59">
        <v>1500</v>
      </c>
      <c r="E36" s="56">
        <v>288</v>
      </c>
      <c r="F36" s="48">
        <v>37.5</v>
      </c>
      <c r="G36" s="83"/>
      <c r="H36" s="37">
        <f>E36*G36</f>
        <v>0</v>
      </c>
      <c r="I36" s="39">
        <f>G36*F36</f>
        <v>0</v>
      </c>
    </row>
    <row r="37" spans="1:9" s="1" customFormat="1" ht="34.5" customHeight="1">
      <c r="A37" s="19" t="s">
        <v>1365</v>
      </c>
      <c r="B37" s="66" t="s">
        <v>1366</v>
      </c>
      <c r="C37" s="68"/>
      <c r="D37" s="59">
        <v>4000</v>
      </c>
      <c r="E37" s="56">
        <v>390</v>
      </c>
      <c r="F37" s="48">
        <v>50.7</v>
      </c>
      <c r="G37" s="83"/>
      <c r="H37" s="37">
        <f>E37*G37</f>
        <v>0</v>
      </c>
      <c r="I37" s="39">
        <f>G37*F37</f>
        <v>0</v>
      </c>
    </row>
    <row r="38" spans="1:9" s="1" customFormat="1" ht="34.5" customHeight="1">
      <c r="A38" s="19" t="s">
        <v>1054</v>
      </c>
      <c r="B38" s="66" t="s">
        <v>1055</v>
      </c>
      <c r="C38" s="68"/>
      <c r="D38" s="59">
        <v>3000</v>
      </c>
      <c r="E38" s="56">
        <v>405</v>
      </c>
      <c r="F38" s="48">
        <v>52.6</v>
      </c>
      <c r="G38" s="83"/>
      <c r="H38" s="37">
        <f>E38*G38</f>
        <v>0</v>
      </c>
      <c r="I38" s="39">
        <f>G38*F38</f>
        <v>0</v>
      </c>
    </row>
    <row r="39" spans="1:9" s="1" customFormat="1" ht="34.5" customHeight="1">
      <c r="A39" s="19" t="s">
        <v>803</v>
      </c>
      <c r="B39" s="66" t="s">
        <v>804</v>
      </c>
      <c r="C39" s="68"/>
      <c r="D39" s="59">
        <v>2800</v>
      </c>
      <c r="E39" s="56">
        <v>270</v>
      </c>
      <c r="F39" s="48">
        <v>35.1</v>
      </c>
      <c r="G39" s="83"/>
      <c r="H39" s="37">
        <f>E39*G39</f>
        <v>0</v>
      </c>
      <c r="I39" s="39">
        <f>G39*F39</f>
        <v>0</v>
      </c>
    </row>
    <row r="40" spans="1:9" s="1" customFormat="1" ht="34.5" customHeight="1">
      <c r="A40" s="19" t="s">
        <v>691</v>
      </c>
      <c r="B40" s="66" t="s">
        <v>692</v>
      </c>
      <c r="C40" s="68"/>
      <c r="D40" s="59">
        <v>2600</v>
      </c>
      <c r="E40" s="56">
        <v>340</v>
      </c>
      <c r="F40" s="48">
        <v>44.2</v>
      </c>
      <c r="G40" s="83"/>
      <c r="H40" s="37">
        <f>E40*G40</f>
        <v>0</v>
      </c>
      <c r="I40" s="39">
        <f>G40*F40</f>
        <v>0</v>
      </c>
    </row>
    <row r="41" spans="1:9" s="1" customFormat="1" ht="34.5" customHeight="1">
      <c r="A41" s="19" t="s">
        <v>618</v>
      </c>
      <c r="B41" s="66" t="s">
        <v>619</v>
      </c>
      <c r="C41" s="68"/>
      <c r="D41" s="59">
        <v>1500</v>
      </c>
      <c r="E41" s="56">
        <v>233</v>
      </c>
      <c r="F41" s="48">
        <v>30.3</v>
      </c>
      <c r="G41" s="83"/>
      <c r="H41" s="37">
        <f>E41*G41</f>
        <v>0</v>
      </c>
      <c r="I41" s="39">
        <f>G41*F41</f>
        <v>0</v>
      </c>
    </row>
    <row r="42" spans="1:9" s="1" customFormat="1" ht="34.5" customHeight="1">
      <c r="A42" s="19" t="s">
        <v>869</v>
      </c>
      <c r="B42" s="66" t="s">
        <v>870</v>
      </c>
      <c r="C42" s="68"/>
      <c r="D42" s="59">
        <v>800</v>
      </c>
      <c r="E42" s="56">
        <v>145</v>
      </c>
      <c r="F42" s="48">
        <v>18.900000000000002</v>
      </c>
      <c r="G42" s="83"/>
      <c r="H42" s="37">
        <f>E42*G42</f>
        <v>0</v>
      </c>
      <c r="I42" s="39">
        <f>G42*F42</f>
        <v>0</v>
      </c>
    </row>
    <row r="43" spans="1:9" s="1" customFormat="1" ht="34.5" customHeight="1">
      <c r="A43" s="19" t="s">
        <v>762</v>
      </c>
      <c r="B43" s="66" t="s">
        <v>763</v>
      </c>
      <c r="C43" s="68"/>
      <c r="D43" s="59">
        <v>10</v>
      </c>
      <c r="E43" s="56">
        <v>700</v>
      </c>
      <c r="F43" s="48">
        <v>91</v>
      </c>
      <c r="G43" s="83"/>
      <c r="H43" s="37">
        <f>E43*G43</f>
        <v>0</v>
      </c>
      <c r="I43" s="39">
        <f>G43*F43</f>
        <v>0</v>
      </c>
    </row>
    <row r="44" spans="1:9" s="1" customFormat="1" ht="34.5" customHeight="1">
      <c r="A44" s="19" t="s">
        <v>403</v>
      </c>
      <c r="B44" s="66" t="s">
        <v>404</v>
      </c>
      <c r="C44" s="68"/>
      <c r="D44" s="59">
        <v>8</v>
      </c>
      <c r="E44" s="56">
        <v>630</v>
      </c>
      <c r="F44" s="48">
        <v>81.899999999999991</v>
      </c>
      <c r="G44" s="83"/>
      <c r="H44" s="37">
        <f>E44*G44</f>
        <v>0</v>
      </c>
      <c r="I44" s="39">
        <f>G44*F44</f>
        <v>0</v>
      </c>
    </row>
    <row r="45" spans="1:9" s="1" customFormat="1" ht="34.5" customHeight="1">
      <c r="A45" s="19" t="s">
        <v>831</v>
      </c>
      <c r="B45" s="66" t="s">
        <v>832</v>
      </c>
      <c r="C45" s="68"/>
      <c r="D45" s="59">
        <v>5</v>
      </c>
      <c r="E45" s="56">
        <v>408</v>
      </c>
      <c r="F45" s="48">
        <v>53</v>
      </c>
      <c r="G45" s="83"/>
      <c r="H45" s="37">
        <f>E45*G45</f>
        <v>0</v>
      </c>
      <c r="I45" s="39">
        <f>G45*F45</f>
        <v>0</v>
      </c>
    </row>
    <row r="46" spans="1:9" s="1" customFormat="1" ht="34.5" customHeight="1">
      <c r="A46" s="19" t="s">
        <v>913</v>
      </c>
      <c r="B46" s="66" t="s">
        <v>914</v>
      </c>
      <c r="C46" s="68"/>
      <c r="D46" s="59">
        <v>20</v>
      </c>
      <c r="E46" s="56">
        <v>480</v>
      </c>
      <c r="F46" s="48">
        <v>62.4</v>
      </c>
      <c r="G46" s="83"/>
      <c r="H46" s="37">
        <f>E46*G46</f>
        <v>0</v>
      </c>
      <c r="I46" s="39">
        <f>G46*F46</f>
        <v>0</v>
      </c>
    </row>
    <row r="47" spans="1:9" s="1" customFormat="1" ht="34.5" customHeight="1">
      <c r="A47" s="19" t="s">
        <v>695</v>
      </c>
      <c r="B47" s="66" t="s">
        <v>696</v>
      </c>
      <c r="C47" s="68"/>
      <c r="D47" s="59">
        <v>2000</v>
      </c>
      <c r="E47" s="56">
        <v>508</v>
      </c>
      <c r="F47" s="48">
        <v>66</v>
      </c>
      <c r="G47" s="83"/>
      <c r="H47" s="37">
        <f>E47*G47</f>
        <v>0</v>
      </c>
      <c r="I47" s="39">
        <f>G47*F47</f>
        <v>0</v>
      </c>
    </row>
    <row r="48" spans="1:9" s="1" customFormat="1" ht="34.5" customHeight="1">
      <c r="A48" s="19" t="s">
        <v>397</v>
      </c>
      <c r="B48" s="66" t="s">
        <v>398</v>
      </c>
      <c r="C48" s="68"/>
      <c r="D48" s="59">
        <v>20</v>
      </c>
      <c r="E48" s="56">
        <v>400</v>
      </c>
      <c r="F48" s="48">
        <v>52</v>
      </c>
      <c r="G48" s="83"/>
      <c r="H48" s="37">
        <f>E48*G48</f>
        <v>0</v>
      </c>
      <c r="I48" s="39">
        <f>G48*F48</f>
        <v>0</v>
      </c>
    </row>
    <row r="49" spans="1:9" s="1" customFormat="1" ht="34.5" customHeight="1">
      <c r="A49" s="19" t="s">
        <v>1249</v>
      </c>
      <c r="B49" s="66" t="s">
        <v>1250</v>
      </c>
      <c r="C49" s="68"/>
      <c r="D49" s="59">
        <v>135</v>
      </c>
      <c r="E49" s="56">
        <v>130</v>
      </c>
      <c r="F49" s="48">
        <v>16.900000000000002</v>
      </c>
      <c r="G49" s="83"/>
      <c r="H49" s="37">
        <f>E49*G49</f>
        <v>0</v>
      </c>
      <c r="I49" s="39">
        <f>G49*F49</f>
        <v>0</v>
      </c>
    </row>
    <row r="50" spans="1:9" s="1" customFormat="1" ht="34.5" customHeight="1">
      <c r="A50" s="19" t="s">
        <v>874</v>
      </c>
      <c r="B50" s="66" t="s">
        <v>875</v>
      </c>
      <c r="C50" s="68"/>
      <c r="D50" s="59">
        <v>500</v>
      </c>
      <c r="E50" s="56">
        <v>825</v>
      </c>
      <c r="F50" s="48">
        <v>107.19999999999999</v>
      </c>
      <c r="G50" s="83"/>
      <c r="H50" s="37">
        <f>E50*G50</f>
        <v>0</v>
      </c>
      <c r="I50" s="39">
        <f>G50*F50</f>
        <v>0</v>
      </c>
    </row>
    <row r="51" spans="1:9" s="1" customFormat="1" ht="34.5" customHeight="1">
      <c r="A51" s="19" t="s">
        <v>758</v>
      </c>
      <c r="B51" s="66" t="s">
        <v>759</v>
      </c>
      <c r="C51" s="68"/>
      <c r="D51" s="59">
        <v>20</v>
      </c>
      <c r="E51" s="56">
        <v>700</v>
      </c>
      <c r="F51" s="48">
        <v>91</v>
      </c>
      <c r="G51" s="83"/>
      <c r="H51" s="37">
        <f>E51*G51</f>
        <v>0</v>
      </c>
      <c r="I51" s="39">
        <f>G51*F51</f>
        <v>0</v>
      </c>
    </row>
    <row r="52" spans="1:9" s="1" customFormat="1" ht="34.5" customHeight="1">
      <c r="A52" s="19" t="s">
        <v>693</v>
      </c>
      <c r="B52" s="66" t="s">
        <v>694</v>
      </c>
      <c r="C52" s="68"/>
      <c r="D52" s="59">
        <v>2000</v>
      </c>
      <c r="E52" s="56">
        <v>498</v>
      </c>
      <c r="F52" s="48">
        <v>64.699999999999989</v>
      </c>
      <c r="G52" s="83"/>
      <c r="H52" s="37">
        <f>E52*G52</f>
        <v>0</v>
      </c>
      <c r="I52" s="39">
        <f>G52*F52</f>
        <v>0</v>
      </c>
    </row>
    <row r="53" spans="1:9" s="1" customFormat="1" ht="34.5" customHeight="1">
      <c r="A53" s="19" t="s">
        <v>401</v>
      </c>
      <c r="B53" s="66" t="s">
        <v>402</v>
      </c>
      <c r="C53" s="68"/>
      <c r="D53" s="59">
        <v>10</v>
      </c>
      <c r="E53" s="56">
        <v>415</v>
      </c>
      <c r="F53" s="48">
        <v>53.9</v>
      </c>
      <c r="G53" s="83"/>
      <c r="H53" s="37">
        <f>E53*G53</f>
        <v>0</v>
      </c>
      <c r="I53" s="39">
        <f>G53*F53</f>
        <v>0</v>
      </c>
    </row>
    <row r="54" spans="1:9" s="1" customFormat="1" ht="34.5" customHeight="1">
      <c r="A54" s="19" t="s">
        <v>387</v>
      </c>
      <c r="B54" s="66" t="s">
        <v>388</v>
      </c>
      <c r="C54" s="68"/>
      <c r="D54" s="59">
        <v>50</v>
      </c>
      <c r="E54" s="56">
        <v>405</v>
      </c>
      <c r="F54" s="48">
        <v>52.6</v>
      </c>
      <c r="G54" s="83"/>
      <c r="H54" s="37">
        <f>E54*G54</f>
        <v>0</v>
      </c>
      <c r="I54" s="39">
        <f>G54*F54</f>
        <v>0</v>
      </c>
    </row>
    <row r="55" spans="1:9" s="1" customFormat="1" ht="34.5" customHeight="1">
      <c r="A55" s="19" t="s">
        <v>399</v>
      </c>
      <c r="B55" s="66" t="s">
        <v>400</v>
      </c>
      <c r="C55" s="68"/>
      <c r="D55" s="59">
        <v>15</v>
      </c>
      <c r="E55" s="56">
        <v>100</v>
      </c>
      <c r="F55" s="48">
        <v>13</v>
      </c>
      <c r="G55" s="83"/>
      <c r="H55" s="37">
        <f>E55*G55</f>
        <v>0</v>
      </c>
      <c r="I55" s="39">
        <f>G55*F55</f>
        <v>0</v>
      </c>
    </row>
    <row r="56" spans="1:9" s="1" customFormat="1" ht="34.5" customHeight="1">
      <c r="A56" s="19" t="s">
        <v>827</v>
      </c>
      <c r="B56" s="66" t="s">
        <v>828</v>
      </c>
      <c r="C56" s="68"/>
      <c r="D56" s="59">
        <v>5</v>
      </c>
      <c r="E56" s="56">
        <v>370</v>
      </c>
      <c r="F56" s="48">
        <v>48.1</v>
      </c>
      <c r="G56" s="83"/>
      <c r="H56" s="37">
        <f>E56*G56</f>
        <v>0</v>
      </c>
      <c r="I56" s="39">
        <f>G56*F56</f>
        <v>0</v>
      </c>
    </row>
    <row r="57" spans="1:9" s="1" customFormat="1" ht="34.5" customHeight="1">
      <c r="A57" s="19" t="s">
        <v>760</v>
      </c>
      <c r="B57" s="66" t="s">
        <v>761</v>
      </c>
      <c r="C57" s="68"/>
      <c r="D57" s="59">
        <v>10</v>
      </c>
      <c r="E57" s="56">
        <v>440</v>
      </c>
      <c r="F57" s="48">
        <v>57.2</v>
      </c>
      <c r="G57" s="83"/>
      <c r="H57" s="37">
        <f>E57*G57</f>
        <v>0</v>
      </c>
      <c r="I57" s="39">
        <f>G57*F57</f>
        <v>0</v>
      </c>
    </row>
    <row r="58" spans="1:9" s="1" customFormat="1" ht="34.5" customHeight="1">
      <c r="A58" s="19" t="s">
        <v>823</v>
      </c>
      <c r="B58" s="66" t="s">
        <v>824</v>
      </c>
      <c r="C58" s="68"/>
      <c r="D58" s="59">
        <v>10</v>
      </c>
      <c r="E58" s="56">
        <v>490</v>
      </c>
      <c r="F58" s="48">
        <v>63.7</v>
      </c>
      <c r="G58" s="83"/>
      <c r="H58" s="37">
        <f>E58*G58</f>
        <v>0</v>
      </c>
      <c r="I58" s="39">
        <f>G58*F58</f>
        <v>0</v>
      </c>
    </row>
    <row r="59" spans="1:9" s="1" customFormat="1" ht="34.5" customHeight="1">
      <c r="A59" s="19" t="s">
        <v>389</v>
      </c>
      <c r="B59" s="66" t="s">
        <v>390</v>
      </c>
      <c r="C59" s="68"/>
      <c r="D59" s="59">
        <v>30</v>
      </c>
      <c r="E59" s="56">
        <v>330</v>
      </c>
      <c r="F59" s="48">
        <v>42.9</v>
      </c>
      <c r="G59" s="83"/>
      <c r="H59" s="37">
        <f>E59*G59</f>
        <v>0</v>
      </c>
      <c r="I59" s="39">
        <f>G59*F59</f>
        <v>0</v>
      </c>
    </row>
    <row r="60" spans="1:9" s="1" customFormat="1" ht="34.5" customHeight="1">
      <c r="A60" s="19" t="s">
        <v>395</v>
      </c>
      <c r="B60" s="66" t="s">
        <v>396</v>
      </c>
      <c r="C60" s="68"/>
      <c r="D60" s="59">
        <v>10</v>
      </c>
      <c r="E60" s="56">
        <v>135</v>
      </c>
      <c r="F60" s="48">
        <v>17.600000000000001</v>
      </c>
      <c r="G60" s="83"/>
      <c r="H60" s="37">
        <f>E60*G60</f>
        <v>0</v>
      </c>
      <c r="I60" s="39">
        <f>G60*F60</f>
        <v>0</v>
      </c>
    </row>
    <row r="61" spans="1:9" s="1" customFormat="1" ht="34.5" customHeight="1">
      <c r="A61" s="19" t="s">
        <v>766</v>
      </c>
      <c r="B61" s="66" t="s">
        <v>767</v>
      </c>
      <c r="C61" s="68"/>
      <c r="D61" s="59">
        <v>59</v>
      </c>
      <c r="E61" s="56">
        <v>65</v>
      </c>
      <c r="F61" s="48">
        <v>8.5</v>
      </c>
      <c r="G61" s="83"/>
      <c r="H61" s="37">
        <f>E61*G61</f>
        <v>0</v>
      </c>
      <c r="I61" s="39">
        <f>G61*F61</f>
        <v>0</v>
      </c>
    </row>
    <row r="62" spans="1:9" s="1" customFormat="1" ht="34.5" customHeight="1">
      <c r="A62" s="19" t="s">
        <v>393</v>
      </c>
      <c r="B62" s="66" t="s">
        <v>394</v>
      </c>
      <c r="C62" s="68"/>
      <c r="D62" s="59">
        <v>10</v>
      </c>
      <c r="E62" s="56">
        <v>390</v>
      </c>
      <c r="F62" s="48">
        <v>50.7</v>
      </c>
      <c r="G62" s="83"/>
      <c r="H62" s="37">
        <f>E62*G62</f>
        <v>0</v>
      </c>
      <c r="I62" s="39">
        <f>G62*F62</f>
        <v>0</v>
      </c>
    </row>
    <row r="63" spans="1:9" s="1" customFormat="1" ht="34.5" customHeight="1">
      <c r="A63" s="19" t="s">
        <v>754</v>
      </c>
      <c r="B63" s="66" t="s">
        <v>755</v>
      </c>
      <c r="C63" s="68"/>
      <c r="D63" s="59">
        <v>10</v>
      </c>
      <c r="E63" s="56">
        <v>480</v>
      </c>
      <c r="F63" s="48">
        <v>62.4</v>
      </c>
      <c r="G63" s="83"/>
      <c r="H63" s="37">
        <f>E63*G63</f>
        <v>0</v>
      </c>
      <c r="I63" s="39">
        <f>G63*F63</f>
        <v>0</v>
      </c>
    </row>
    <row r="64" spans="1:9" s="1" customFormat="1" ht="34.5" customHeight="1">
      <c r="A64" s="19" t="s">
        <v>829</v>
      </c>
      <c r="B64" s="66" t="s">
        <v>830</v>
      </c>
      <c r="C64" s="68"/>
      <c r="D64" s="59">
        <v>5</v>
      </c>
      <c r="E64" s="56">
        <v>480</v>
      </c>
      <c r="F64" s="48">
        <v>62.4</v>
      </c>
      <c r="G64" s="83"/>
      <c r="H64" s="37">
        <f>E64*G64</f>
        <v>0</v>
      </c>
      <c r="I64" s="39">
        <f>G64*F64</f>
        <v>0</v>
      </c>
    </row>
    <row r="65" spans="1:9" s="1" customFormat="1" ht="34.5" customHeight="1">
      <c r="A65" s="19" t="s">
        <v>516</v>
      </c>
      <c r="B65" s="66" t="s">
        <v>517</v>
      </c>
      <c r="C65" s="68"/>
      <c r="D65" s="59">
        <v>20</v>
      </c>
      <c r="E65" s="56">
        <v>75</v>
      </c>
      <c r="F65" s="48">
        <v>9.7999999999999989</v>
      </c>
      <c r="G65" s="83"/>
      <c r="H65" s="37">
        <f>E65*G65</f>
        <v>0</v>
      </c>
      <c r="I65" s="39">
        <f>G65*F65</f>
        <v>0</v>
      </c>
    </row>
    <row r="66" spans="1:9" s="1" customFormat="1" ht="34.5" customHeight="1">
      <c r="A66" s="19" t="s">
        <v>485</v>
      </c>
      <c r="B66" s="66" t="s">
        <v>645</v>
      </c>
      <c r="C66" s="68"/>
      <c r="D66" s="59">
        <v>3000</v>
      </c>
      <c r="E66" s="56">
        <v>375</v>
      </c>
      <c r="F66" s="48">
        <v>48.800000000000004</v>
      </c>
      <c r="G66" s="83"/>
      <c r="H66" s="37">
        <f>E66*G66</f>
        <v>0</v>
      </c>
      <c r="I66" s="39">
        <f>G66*F66</f>
        <v>0</v>
      </c>
    </row>
    <row r="67" spans="1:9" s="1" customFormat="1" ht="34.5" customHeight="1">
      <c r="A67" s="19" t="s">
        <v>384</v>
      </c>
      <c r="B67" s="66" t="s">
        <v>238</v>
      </c>
      <c r="C67" s="68"/>
      <c r="D67" s="59">
        <v>10</v>
      </c>
      <c r="E67" s="56">
        <v>485</v>
      </c>
      <c r="F67" s="48">
        <v>63</v>
      </c>
      <c r="G67" s="83"/>
      <c r="H67" s="37">
        <f>E67*G67</f>
        <v>0</v>
      </c>
      <c r="I67" s="39">
        <f>G67*F67</f>
        <v>0</v>
      </c>
    </row>
    <row r="68" spans="1:9" s="1" customFormat="1" ht="34.5" customHeight="1">
      <c r="A68" s="19" t="s">
        <v>385</v>
      </c>
      <c r="B68" s="66" t="s">
        <v>386</v>
      </c>
      <c r="C68" s="68"/>
      <c r="D68" s="59">
        <v>80</v>
      </c>
      <c r="E68" s="56">
        <v>425</v>
      </c>
      <c r="F68" s="48">
        <v>55.2</v>
      </c>
      <c r="G68" s="83"/>
      <c r="H68" s="37">
        <f>E68*G68</f>
        <v>0</v>
      </c>
      <c r="I68" s="39">
        <f>G68*F68</f>
        <v>0</v>
      </c>
    </row>
    <row r="69" spans="1:9" s="1" customFormat="1" ht="34.5" customHeight="1">
      <c r="A69" s="19" t="s">
        <v>405</v>
      </c>
      <c r="B69" s="66" t="s">
        <v>406</v>
      </c>
      <c r="C69" s="68"/>
      <c r="D69" s="59">
        <v>50</v>
      </c>
      <c r="E69" s="56">
        <v>399</v>
      </c>
      <c r="F69" s="48">
        <v>51.9</v>
      </c>
      <c r="G69" s="83"/>
      <c r="H69" s="37">
        <f>E69*G69</f>
        <v>0</v>
      </c>
      <c r="I69" s="39">
        <f>G69*F69</f>
        <v>0</v>
      </c>
    </row>
    <row r="70" spans="1:9" s="1" customFormat="1" ht="34.5" customHeight="1">
      <c r="A70" s="19" t="s">
        <v>936</v>
      </c>
      <c r="B70" s="66" t="s">
        <v>937</v>
      </c>
      <c r="C70" s="68"/>
      <c r="D70" s="59">
        <v>5</v>
      </c>
      <c r="E70" s="56">
        <v>440</v>
      </c>
      <c r="F70" s="48">
        <v>57.2</v>
      </c>
      <c r="G70" s="83"/>
      <c r="H70" s="37">
        <f>E70*G70</f>
        <v>0</v>
      </c>
      <c r="I70" s="39">
        <f>G70*F70</f>
        <v>0</v>
      </c>
    </row>
    <row r="71" spans="1:9" s="1" customFormat="1" ht="34.5" customHeight="1">
      <c r="A71" s="19" t="s">
        <v>764</v>
      </c>
      <c r="B71" s="66" t="s">
        <v>765</v>
      </c>
      <c r="C71" s="68"/>
      <c r="D71" s="59">
        <v>20</v>
      </c>
      <c r="E71" s="56">
        <v>135</v>
      </c>
      <c r="F71" s="48">
        <v>17.600000000000001</v>
      </c>
      <c r="G71" s="83"/>
      <c r="H71" s="37">
        <f>E71*G71</f>
        <v>0</v>
      </c>
      <c r="I71" s="39">
        <f>G71*F71</f>
        <v>0</v>
      </c>
    </row>
    <row r="72" spans="1:9" s="1" customFormat="1" ht="34.5" customHeight="1">
      <c r="A72" s="19" t="s">
        <v>391</v>
      </c>
      <c r="B72" s="66" t="s">
        <v>392</v>
      </c>
      <c r="C72" s="68"/>
      <c r="D72" s="59">
        <v>30</v>
      </c>
      <c r="E72" s="56">
        <v>440</v>
      </c>
      <c r="F72" s="48">
        <v>57.2</v>
      </c>
      <c r="G72" s="83"/>
      <c r="H72" s="37">
        <f>E72*G72</f>
        <v>0</v>
      </c>
      <c r="I72" s="39">
        <f>G72*F72</f>
        <v>0</v>
      </c>
    </row>
    <row r="73" spans="1:9" s="1" customFormat="1" ht="34.5" customHeight="1">
      <c r="A73" s="19" t="s">
        <v>379</v>
      </c>
      <c r="B73" s="66" t="s">
        <v>380</v>
      </c>
      <c r="C73" s="68"/>
      <c r="D73" s="59">
        <v>100</v>
      </c>
      <c r="E73" s="56">
        <v>420</v>
      </c>
      <c r="F73" s="48">
        <v>54.6</v>
      </c>
      <c r="G73" s="83"/>
      <c r="H73" s="37">
        <f>E73*G73</f>
        <v>0</v>
      </c>
      <c r="I73" s="39">
        <f>G73*F73</f>
        <v>0</v>
      </c>
    </row>
    <row r="74" spans="1:9" s="1" customFormat="1" ht="34.5" customHeight="1">
      <c r="A74" s="19" t="s">
        <v>756</v>
      </c>
      <c r="B74" s="66" t="s">
        <v>757</v>
      </c>
      <c r="C74" s="68"/>
      <c r="D74" s="59">
        <v>30</v>
      </c>
      <c r="E74" s="56">
        <v>500</v>
      </c>
      <c r="F74" s="48">
        <v>65</v>
      </c>
      <c r="G74" s="83"/>
      <c r="H74" s="37">
        <f>E74*G74</f>
        <v>0</v>
      </c>
      <c r="I74" s="39">
        <f>G74*F74</f>
        <v>0</v>
      </c>
    </row>
    <row r="75" spans="1:9" s="1" customFormat="1" ht="34.5" customHeight="1">
      <c r="A75" s="19" t="s">
        <v>825</v>
      </c>
      <c r="B75" s="66" t="s">
        <v>826</v>
      </c>
      <c r="C75" s="68"/>
      <c r="D75" s="59">
        <v>40</v>
      </c>
      <c r="E75" s="56">
        <v>75</v>
      </c>
      <c r="F75" s="48">
        <v>9.7999999999999989</v>
      </c>
      <c r="G75" s="83"/>
      <c r="H75" s="37">
        <f>E75*G75</f>
        <v>0</v>
      </c>
      <c r="I75" s="39">
        <f>G75*F75</f>
        <v>0</v>
      </c>
    </row>
    <row r="76" spans="1:9" s="1" customFormat="1" ht="34.5" customHeight="1">
      <c r="A76" s="19" t="s">
        <v>375</v>
      </c>
      <c r="B76" s="66" t="s">
        <v>376</v>
      </c>
      <c r="C76" s="68"/>
      <c r="D76" s="59">
        <v>15</v>
      </c>
      <c r="E76" s="56">
        <v>420</v>
      </c>
      <c r="F76" s="48">
        <v>54.6</v>
      </c>
      <c r="G76" s="83"/>
      <c r="H76" s="37">
        <f>E76*G76</f>
        <v>0</v>
      </c>
      <c r="I76" s="39">
        <f>G76*F76</f>
        <v>0</v>
      </c>
    </row>
    <row r="77" spans="1:9" s="1" customFormat="1" ht="34.5" customHeight="1">
      <c r="A77" s="19" t="s">
        <v>377</v>
      </c>
      <c r="B77" s="66" t="s">
        <v>378</v>
      </c>
      <c r="C77" s="68"/>
      <c r="D77" s="59">
        <v>15</v>
      </c>
      <c r="E77" s="56">
        <v>440</v>
      </c>
      <c r="F77" s="48">
        <v>57.2</v>
      </c>
      <c r="G77" s="83"/>
      <c r="H77" s="37">
        <f>E77*G77</f>
        <v>0</v>
      </c>
      <c r="I77" s="39">
        <f>G77*F77</f>
        <v>0</v>
      </c>
    </row>
    <row r="78" spans="1:9" s="1" customFormat="1" ht="34.5" customHeight="1">
      <c r="A78" s="19" t="s">
        <v>373</v>
      </c>
      <c r="B78" s="66" t="s">
        <v>374</v>
      </c>
      <c r="C78" s="68"/>
      <c r="D78" s="59">
        <v>21</v>
      </c>
      <c r="E78" s="56">
        <v>128</v>
      </c>
      <c r="F78" s="48">
        <v>16.700000000000003</v>
      </c>
      <c r="G78" s="83"/>
      <c r="H78" s="37">
        <f>E78*G78</f>
        <v>0</v>
      </c>
      <c r="I78" s="39">
        <f>G78*F78</f>
        <v>0</v>
      </c>
    </row>
    <row r="79" spans="1:9" s="1" customFormat="1" ht="34.5" customHeight="1">
      <c r="A79" s="19" t="s">
        <v>381</v>
      </c>
      <c r="B79" s="66" t="s">
        <v>382</v>
      </c>
      <c r="C79" s="68"/>
      <c r="D79" s="59">
        <v>20</v>
      </c>
      <c r="E79" s="56">
        <v>78</v>
      </c>
      <c r="F79" s="48">
        <v>10.199999999999999</v>
      </c>
      <c r="G79" s="83"/>
      <c r="H79" s="37">
        <f>E79*G79</f>
        <v>0</v>
      </c>
      <c r="I79" s="39">
        <f>G79*F79</f>
        <v>0</v>
      </c>
    </row>
    <row r="80" spans="1:9" s="1" customFormat="1" ht="34.5" customHeight="1">
      <c r="A80" s="19" t="s">
        <v>177</v>
      </c>
      <c r="B80" s="66" t="s">
        <v>178</v>
      </c>
      <c r="C80" s="68"/>
      <c r="D80" s="59">
        <v>100</v>
      </c>
      <c r="E80" s="56">
        <v>225</v>
      </c>
      <c r="F80" s="48">
        <v>29.3</v>
      </c>
      <c r="G80" s="83"/>
      <c r="H80" s="37">
        <f>E80*G80</f>
        <v>0</v>
      </c>
      <c r="I80" s="39">
        <f>G80*F80</f>
        <v>0</v>
      </c>
    </row>
    <row r="81" spans="1:9" s="1" customFormat="1" ht="34.5" customHeight="1">
      <c r="A81" s="19" t="s">
        <v>968</v>
      </c>
      <c r="B81" s="66" t="s">
        <v>789</v>
      </c>
      <c r="C81" s="68"/>
      <c r="D81" s="59">
        <v>3000</v>
      </c>
      <c r="E81" s="56">
        <v>112</v>
      </c>
      <c r="F81" s="48">
        <v>14.6</v>
      </c>
      <c r="G81" s="83"/>
      <c r="H81" s="37">
        <f>E81*G81</f>
        <v>0</v>
      </c>
      <c r="I81" s="39">
        <f>G81*F81</f>
        <v>0</v>
      </c>
    </row>
    <row r="82" spans="1:9" s="1" customFormat="1" ht="34.5" customHeight="1">
      <c r="A82" s="19" t="s">
        <v>966</v>
      </c>
      <c r="B82" s="66" t="s">
        <v>967</v>
      </c>
      <c r="C82" s="68"/>
      <c r="D82" s="59">
        <v>3000</v>
      </c>
      <c r="E82" s="56">
        <v>165</v>
      </c>
      <c r="F82" s="48">
        <v>21.5</v>
      </c>
      <c r="G82" s="83"/>
      <c r="H82" s="37">
        <f>E82*G82</f>
        <v>0</v>
      </c>
      <c r="I82" s="39">
        <f>G82*F82</f>
        <v>0</v>
      </c>
    </row>
    <row r="83" spans="1:9" s="1" customFormat="1" ht="34.5" customHeight="1">
      <c r="A83" s="19" t="s">
        <v>1056</v>
      </c>
      <c r="B83" s="66" t="s">
        <v>1057</v>
      </c>
      <c r="C83" s="68"/>
      <c r="D83" s="59">
        <v>2000</v>
      </c>
      <c r="E83" s="56">
        <v>80</v>
      </c>
      <c r="F83" s="48">
        <v>10.4</v>
      </c>
      <c r="G83" s="83"/>
      <c r="H83" s="37">
        <f>E83*G83</f>
        <v>0</v>
      </c>
      <c r="I83" s="39">
        <f>G83*F83</f>
        <v>0</v>
      </c>
    </row>
    <row r="84" spans="1:9" s="1" customFormat="1" ht="34.5" customHeight="1">
      <c r="A84" s="19" t="s">
        <v>938</v>
      </c>
      <c r="B84" s="66" t="s">
        <v>939</v>
      </c>
      <c r="C84" s="68"/>
      <c r="D84" s="59">
        <v>3000</v>
      </c>
      <c r="E84" s="56">
        <v>135</v>
      </c>
      <c r="F84" s="48">
        <v>17.600000000000001</v>
      </c>
      <c r="G84" s="83"/>
      <c r="H84" s="37">
        <f>E84*G84</f>
        <v>0</v>
      </c>
      <c r="I84" s="39">
        <f>G84*F84</f>
        <v>0</v>
      </c>
    </row>
    <row r="85" spans="1:9" s="1" customFormat="1" ht="34.5" customHeight="1">
      <c r="A85" s="19" t="s">
        <v>969</v>
      </c>
      <c r="B85" s="66" t="s">
        <v>970</v>
      </c>
      <c r="C85" s="68"/>
      <c r="D85" s="59">
        <v>3000</v>
      </c>
      <c r="E85" s="56">
        <v>190</v>
      </c>
      <c r="F85" s="48">
        <v>24.700000000000003</v>
      </c>
      <c r="G85" s="83"/>
      <c r="H85" s="37">
        <f>E85*G85</f>
        <v>0</v>
      </c>
      <c r="I85" s="39">
        <f>G85*F85</f>
        <v>0</v>
      </c>
    </row>
    <row r="86" spans="1:9" s="1" customFormat="1" ht="34.5" customHeight="1">
      <c r="A86" s="19" t="s">
        <v>962</v>
      </c>
      <c r="B86" s="66" t="s">
        <v>963</v>
      </c>
      <c r="C86" s="68"/>
      <c r="D86" s="59">
        <v>500</v>
      </c>
      <c r="E86" s="56">
        <v>105</v>
      </c>
      <c r="F86" s="48">
        <v>13.7</v>
      </c>
      <c r="G86" s="83"/>
      <c r="H86" s="37">
        <f>E86*G86</f>
        <v>0</v>
      </c>
      <c r="I86" s="39">
        <f>G86*F86</f>
        <v>0</v>
      </c>
    </row>
    <row r="87" spans="1:9" s="1" customFormat="1" ht="34.5" customHeight="1">
      <c r="A87" s="19" t="s">
        <v>964</v>
      </c>
      <c r="B87" s="66" t="s">
        <v>965</v>
      </c>
      <c r="C87" s="68"/>
      <c r="D87" s="59">
        <v>500</v>
      </c>
      <c r="E87" s="56">
        <v>105</v>
      </c>
      <c r="F87" s="48">
        <v>13.7</v>
      </c>
      <c r="G87" s="83"/>
      <c r="H87" s="37">
        <f>E87*G87</f>
        <v>0</v>
      </c>
      <c r="I87" s="39">
        <f>G87*F87</f>
        <v>0</v>
      </c>
    </row>
    <row r="88" spans="1:9" s="1" customFormat="1" ht="34.5" customHeight="1">
      <c r="A88" s="19" t="s">
        <v>971</v>
      </c>
      <c r="B88" s="66" t="s">
        <v>407</v>
      </c>
      <c r="C88" s="68"/>
      <c r="D88" s="59">
        <v>500</v>
      </c>
      <c r="E88" s="56">
        <v>200</v>
      </c>
      <c r="F88" s="48">
        <v>26</v>
      </c>
      <c r="G88" s="83"/>
      <c r="H88" s="37">
        <f>E88*G88</f>
        <v>0</v>
      </c>
      <c r="I88" s="39">
        <f>G88*F88</f>
        <v>0</v>
      </c>
    </row>
    <row r="89" spans="1:9" s="1" customFormat="1" ht="34.5" customHeight="1">
      <c r="A89" s="19" t="s">
        <v>836</v>
      </c>
      <c r="B89" s="66" t="s">
        <v>837</v>
      </c>
      <c r="C89" s="68"/>
      <c r="D89" s="59">
        <v>50</v>
      </c>
      <c r="E89" s="56">
        <v>520</v>
      </c>
      <c r="F89" s="48">
        <v>67.599999999999994</v>
      </c>
      <c r="G89" s="83"/>
      <c r="H89" s="37">
        <f>E89*G89</f>
        <v>0</v>
      </c>
      <c r="I89" s="39">
        <f>G89*F89</f>
        <v>0</v>
      </c>
    </row>
    <row r="90" spans="1:9" s="1" customFormat="1" ht="34.5" customHeight="1">
      <c r="A90" s="19" t="s">
        <v>838</v>
      </c>
      <c r="B90" s="66" t="s">
        <v>839</v>
      </c>
      <c r="C90" s="68"/>
      <c r="D90" s="59">
        <v>50</v>
      </c>
      <c r="E90" s="56">
        <v>230</v>
      </c>
      <c r="F90" s="48">
        <v>29.900000000000002</v>
      </c>
      <c r="G90" s="83"/>
      <c r="H90" s="37">
        <f>E90*G90</f>
        <v>0</v>
      </c>
      <c r="I90" s="39">
        <f>G90*F90</f>
        <v>0</v>
      </c>
    </row>
    <row r="91" spans="1:9" s="1" customFormat="1" ht="34.5" customHeight="1">
      <c r="A91" s="19" t="s">
        <v>565</v>
      </c>
      <c r="B91" s="66" t="s">
        <v>566</v>
      </c>
      <c r="C91" s="68"/>
      <c r="D91" s="59">
        <v>1100</v>
      </c>
      <c r="E91" s="56">
        <v>170</v>
      </c>
      <c r="F91" s="48">
        <v>22.1</v>
      </c>
      <c r="G91" s="83"/>
      <c r="H91" s="37">
        <f>E91*G91</f>
        <v>0</v>
      </c>
      <c r="I91" s="39">
        <f>G91*F91</f>
        <v>0</v>
      </c>
    </row>
    <row r="92" spans="1:9" s="1" customFormat="1" ht="34.5" customHeight="1">
      <c r="A92" s="19" t="s">
        <v>567</v>
      </c>
      <c r="B92" s="66" t="s">
        <v>568</v>
      </c>
      <c r="C92" s="68"/>
      <c r="D92" s="59">
        <v>1100</v>
      </c>
      <c r="E92" s="56">
        <v>170</v>
      </c>
      <c r="F92" s="48">
        <v>22.1</v>
      </c>
      <c r="G92" s="83"/>
      <c r="H92" s="37">
        <f>E92*G92</f>
        <v>0</v>
      </c>
      <c r="I92" s="39">
        <f>G92*F92</f>
        <v>0</v>
      </c>
    </row>
    <row r="93" spans="1:9" s="1" customFormat="1" ht="34.5" customHeight="1">
      <c r="A93" s="19" t="s">
        <v>846</v>
      </c>
      <c r="B93" s="66" t="s">
        <v>1145</v>
      </c>
      <c r="C93" s="68"/>
      <c r="D93" s="59">
        <v>100</v>
      </c>
      <c r="E93" s="56">
        <v>295</v>
      </c>
      <c r="F93" s="48">
        <f>ROUNDUP(E93/7.7,1)</f>
        <v>38.4</v>
      </c>
      <c r="G93" s="83"/>
      <c r="H93" s="37">
        <f>E93*G93</f>
        <v>0</v>
      </c>
      <c r="I93" s="39">
        <f>G93*F93</f>
        <v>0</v>
      </c>
    </row>
    <row r="94" spans="1:9" s="1" customFormat="1" ht="34.5" customHeight="1">
      <c r="A94" s="19" t="s">
        <v>847</v>
      </c>
      <c r="B94" s="66" t="s">
        <v>1146</v>
      </c>
      <c r="C94" s="68"/>
      <c r="D94" s="59">
        <v>100</v>
      </c>
      <c r="E94" s="56">
        <v>210</v>
      </c>
      <c r="F94" s="48">
        <v>27.3</v>
      </c>
      <c r="G94" s="83"/>
      <c r="H94" s="37">
        <f>E94*G94</f>
        <v>0</v>
      </c>
      <c r="I94" s="39">
        <f>G94*F94</f>
        <v>0</v>
      </c>
    </row>
    <row r="95" spans="1:9" s="1" customFormat="1" ht="34.5" customHeight="1">
      <c r="A95" s="19" t="s">
        <v>844</v>
      </c>
      <c r="B95" s="66" t="s">
        <v>845</v>
      </c>
      <c r="C95" s="68"/>
      <c r="D95" s="59">
        <v>300</v>
      </c>
      <c r="E95" s="56">
        <v>197</v>
      </c>
      <c r="F95" s="48">
        <f>ROUNDUP(E95/7.7,1)</f>
        <v>25.6</v>
      </c>
      <c r="G95" s="83"/>
      <c r="H95" s="37">
        <f>E95*G95</f>
        <v>0</v>
      </c>
      <c r="I95" s="39">
        <f>G95*F95</f>
        <v>0</v>
      </c>
    </row>
    <row r="96" spans="1:9" s="1" customFormat="1" ht="34.5" customHeight="1">
      <c r="A96" s="19" t="s">
        <v>840</v>
      </c>
      <c r="B96" s="66" t="s">
        <v>841</v>
      </c>
      <c r="C96" s="68"/>
      <c r="D96" s="59">
        <v>100</v>
      </c>
      <c r="E96" s="56">
        <v>167</v>
      </c>
      <c r="F96" s="48">
        <v>21.700000000000003</v>
      </c>
      <c r="G96" s="83"/>
      <c r="H96" s="37">
        <f>E96*G96</f>
        <v>0</v>
      </c>
      <c r="I96" s="39">
        <f>G96*F96</f>
        <v>0</v>
      </c>
    </row>
    <row r="97" spans="1:9" s="1" customFormat="1" ht="34.5" customHeight="1">
      <c r="A97" s="19" t="s">
        <v>842</v>
      </c>
      <c r="B97" s="66" t="s">
        <v>843</v>
      </c>
      <c r="C97" s="68"/>
      <c r="D97" s="59">
        <v>50</v>
      </c>
      <c r="E97" s="56">
        <v>167</v>
      </c>
      <c r="F97" s="48">
        <v>21.700000000000003</v>
      </c>
      <c r="G97" s="83"/>
      <c r="H97" s="37">
        <f>E97*G97</f>
        <v>0</v>
      </c>
      <c r="I97" s="39">
        <f>G97*F97</f>
        <v>0</v>
      </c>
    </row>
    <row r="98" spans="1:9" s="1" customFormat="1" ht="34.5" customHeight="1">
      <c r="A98" s="19" t="s">
        <v>876</v>
      </c>
      <c r="B98" s="66" t="s">
        <v>888</v>
      </c>
      <c r="C98" s="68"/>
      <c r="D98" s="59">
        <v>200</v>
      </c>
      <c r="E98" s="56">
        <v>530</v>
      </c>
      <c r="F98" s="48">
        <v>68.899999999999991</v>
      </c>
      <c r="G98" s="83"/>
      <c r="H98" s="37">
        <f>E98*G98</f>
        <v>0</v>
      </c>
      <c r="I98" s="39">
        <f>G98*F98</f>
        <v>0</v>
      </c>
    </row>
    <row r="99" spans="1:9" s="1" customFormat="1" ht="34.5" customHeight="1">
      <c r="A99" s="19" t="s">
        <v>848</v>
      </c>
      <c r="B99" s="66" t="s">
        <v>849</v>
      </c>
      <c r="C99" s="68"/>
      <c r="D99" s="59">
        <v>500</v>
      </c>
      <c r="E99" s="56">
        <v>202</v>
      </c>
      <c r="F99" s="48">
        <v>26.3</v>
      </c>
      <c r="G99" s="83"/>
      <c r="H99" s="37">
        <f>E99*G99</f>
        <v>0</v>
      </c>
      <c r="I99" s="39">
        <f>G99*F99</f>
        <v>0</v>
      </c>
    </row>
    <row r="100" spans="1:9" s="1" customFormat="1" ht="34.5" customHeight="1">
      <c r="A100" s="19" t="s">
        <v>877</v>
      </c>
      <c r="B100" s="66" t="s">
        <v>878</v>
      </c>
      <c r="C100" s="68"/>
      <c r="D100" s="59">
        <v>1000</v>
      </c>
      <c r="E100" s="56">
        <v>830</v>
      </c>
      <c r="F100" s="48">
        <v>107.8</v>
      </c>
      <c r="G100" s="83"/>
      <c r="H100" s="37">
        <f>E100*G100</f>
        <v>0</v>
      </c>
      <c r="I100" s="39">
        <f>G100*F100</f>
        <v>0</v>
      </c>
    </row>
    <row r="101" spans="1:9" s="1" customFormat="1" ht="34.5" customHeight="1">
      <c r="A101" s="19" t="s">
        <v>833</v>
      </c>
      <c r="B101" s="66" t="s">
        <v>834</v>
      </c>
      <c r="C101" s="68"/>
      <c r="D101" s="59">
        <v>300</v>
      </c>
      <c r="E101" s="56">
        <v>202</v>
      </c>
      <c r="F101" s="48">
        <v>26.3</v>
      </c>
      <c r="G101" s="83"/>
      <c r="H101" s="37">
        <f>E101*G101</f>
        <v>0</v>
      </c>
      <c r="I101" s="39">
        <f>G101*F101</f>
        <v>0</v>
      </c>
    </row>
    <row r="102" spans="1:9" s="1" customFormat="1" ht="34.5" customHeight="1">
      <c r="A102" s="19" t="s">
        <v>1041</v>
      </c>
      <c r="B102" s="66" t="s">
        <v>1042</v>
      </c>
      <c r="C102" s="68"/>
      <c r="D102" s="59">
        <v>500</v>
      </c>
      <c r="E102" s="56">
        <v>370</v>
      </c>
      <c r="F102" s="48">
        <v>48.1</v>
      </c>
      <c r="G102" s="83"/>
      <c r="H102" s="37">
        <f>E102*G102</f>
        <v>0</v>
      </c>
      <c r="I102" s="39">
        <f>G102*F102</f>
        <v>0</v>
      </c>
    </row>
    <row r="103" spans="1:9" s="1" customFormat="1" ht="34.5" customHeight="1">
      <c r="A103" s="19" t="s">
        <v>667</v>
      </c>
      <c r="B103" s="66" t="s">
        <v>668</v>
      </c>
      <c r="C103" s="68"/>
      <c r="D103" s="59">
        <v>2000</v>
      </c>
      <c r="E103" s="56">
        <v>248</v>
      </c>
      <c r="F103" s="48">
        <v>32.300000000000004</v>
      </c>
      <c r="G103" s="83"/>
      <c r="H103" s="37">
        <f>E103*G103</f>
        <v>0</v>
      </c>
      <c r="I103" s="39">
        <f>G103*F103</f>
        <v>0</v>
      </c>
    </row>
    <row r="104" spans="1:9" s="1" customFormat="1" ht="34.5" customHeight="1">
      <c r="A104" s="19" t="s">
        <v>669</v>
      </c>
      <c r="B104" s="66" t="s">
        <v>670</v>
      </c>
      <c r="C104" s="68"/>
      <c r="D104" s="59">
        <v>5000</v>
      </c>
      <c r="E104" s="56">
        <v>340</v>
      </c>
      <c r="F104" s="48">
        <v>44.2</v>
      </c>
      <c r="G104" s="83"/>
      <c r="H104" s="37">
        <f>E104*G104</f>
        <v>0</v>
      </c>
      <c r="I104" s="39">
        <f>G104*F104</f>
        <v>0</v>
      </c>
    </row>
    <row r="105" spans="1:9" s="1" customFormat="1" ht="34.5" customHeight="1">
      <c r="A105" s="19" t="s">
        <v>408</v>
      </c>
      <c r="B105" s="66" t="s">
        <v>409</v>
      </c>
      <c r="C105" s="68"/>
      <c r="D105" s="59">
        <v>1000</v>
      </c>
      <c r="E105" s="56">
        <v>320</v>
      </c>
      <c r="F105" s="48">
        <v>41.6</v>
      </c>
      <c r="G105" s="83"/>
      <c r="H105" s="37">
        <f>E105*G105</f>
        <v>0</v>
      </c>
      <c r="I105" s="39">
        <f>G105*F105</f>
        <v>0</v>
      </c>
    </row>
    <row r="106" spans="1:9" s="1" customFormat="1" ht="34.5" customHeight="1">
      <c r="A106" s="19" t="s">
        <v>652</v>
      </c>
      <c r="B106" s="66" t="s">
        <v>653</v>
      </c>
      <c r="C106" s="68"/>
      <c r="D106" s="59">
        <v>1000</v>
      </c>
      <c r="E106" s="56">
        <v>230</v>
      </c>
      <c r="F106" s="48">
        <v>29.900000000000002</v>
      </c>
      <c r="G106" s="83"/>
      <c r="H106" s="37">
        <f>E106*G106</f>
        <v>0</v>
      </c>
      <c r="I106" s="39">
        <f>G106*F106</f>
        <v>0</v>
      </c>
    </row>
    <row r="107" spans="1:9" s="1" customFormat="1" ht="34.5" customHeight="1">
      <c r="A107" s="19" t="s">
        <v>1079</v>
      </c>
      <c r="B107" s="66" t="s">
        <v>1080</v>
      </c>
      <c r="C107" s="68"/>
      <c r="D107" s="59">
        <v>600</v>
      </c>
      <c r="E107" s="56">
        <v>248</v>
      </c>
      <c r="F107" s="48">
        <v>32.300000000000004</v>
      </c>
      <c r="G107" s="83"/>
      <c r="H107" s="37">
        <f>E107*G107</f>
        <v>0</v>
      </c>
      <c r="I107" s="39">
        <f>G107*F107</f>
        <v>0</v>
      </c>
    </row>
    <row r="108" spans="1:9" s="1" customFormat="1" ht="34.5" customHeight="1">
      <c r="A108" s="19" t="s">
        <v>915</v>
      </c>
      <c r="B108" s="66" t="s">
        <v>916</v>
      </c>
      <c r="C108" s="68"/>
      <c r="D108" s="59">
        <v>1000</v>
      </c>
      <c r="E108" s="56">
        <v>240</v>
      </c>
      <c r="F108" s="48">
        <v>31.200000000000003</v>
      </c>
      <c r="G108" s="83"/>
      <c r="H108" s="37">
        <f>E108*G108</f>
        <v>0</v>
      </c>
      <c r="I108" s="39">
        <f>G108*F108</f>
        <v>0</v>
      </c>
    </row>
    <row r="109" spans="1:9" s="1" customFormat="1" ht="34.5" customHeight="1">
      <c r="A109" s="19" t="s">
        <v>1110</v>
      </c>
      <c r="B109" s="66" t="s">
        <v>1127</v>
      </c>
      <c r="C109" s="68"/>
      <c r="D109" s="59">
        <v>1000</v>
      </c>
      <c r="E109" s="56">
        <v>875</v>
      </c>
      <c r="F109" s="48">
        <v>113.69999999999999</v>
      </c>
      <c r="G109" s="83"/>
      <c r="H109" s="37">
        <f>E109*G109</f>
        <v>0</v>
      </c>
      <c r="I109" s="39">
        <f>G109*F109</f>
        <v>0</v>
      </c>
    </row>
    <row r="110" spans="1:9" s="1" customFormat="1" ht="34.5" customHeight="1">
      <c r="A110" s="19" t="s">
        <v>940</v>
      </c>
      <c r="B110" s="66" t="s">
        <v>941</v>
      </c>
      <c r="C110" s="68"/>
      <c r="D110" s="59">
        <v>2000</v>
      </c>
      <c r="E110" s="56">
        <v>480</v>
      </c>
      <c r="F110" s="48">
        <v>62.4</v>
      </c>
      <c r="G110" s="83"/>
      <c r="H110" s="37">
        <f>E110*G110</f>
        <v>0</v>
      </c>
      <c r="I110" s="39">
        <f>G110*F110</f>
        <v>0</v>
      </c>
    </row>
    <row r="111" spans="1:9" s="1" customFormat="1" ht="34.5" customHeight="1">
      <c r="A111" s="19" t="s">
        <v>1071</v>
      </c>
      <c r="B111" s="66" t="s">
        <v>1072</v>
      </c>
      <c r="C111" s="68"/>
      <c r="D111" s="59">
        <v>500</v>
      </c>
      <c r="E111" s="56">
        <v>665</v>
      </c>
      <c r="F111" s="48">
        <v>86.399999999999991</v>
      </c>
      <c r="G111" s="83"/>
      <c r="H111" s="37">
        <f>E111*G111</f>
        <v>0</v>
      </c>
      <c r="I111" s="39">
        <f>G111*F111</f>
        <v>0</v>
      </c>
    </row>
    <row r="112" spans="1:9" s="1" customFormat="1" ht="34.5" customHeight="1">
      <c r="A112" s="19" t="s">
        <v>1317</v>
      </c>
      <c r="B112" s="66" t="s">
        <v>1318</v>
      </c>
      <c r="C112" s="68"/>
      <c r="D112" s="59">
        <v>300</v>
      </c>
      <c r="E112" s="56">
        <v>670</v>
      </c>
      <c r="F112" s="48">
        <v>87.1</v>
      </c>
      <c r="G112" s="83"/>
      <c r="H112" s="37">
        <f>E112*G112</f>
        <v>0</v>
      </c>
      <c r="I112" s="39">
        <f>G112*F112</f>
        <v>0</v>
      </c>
    </row>
    <row r="113" spans="1:9" s="1" customFormat="1" ht="34.5" customHeight="1">
      <c r="A113" s="19" t="s">
        <v>1073</v>
      </c>
      <c r="B113" s="66" t="s">
        <v>1074</v>
      </c>
      <c r="C113" s="68"/>
      <c r="D113" s="59">
        <v>100</v>
      </c>
      <c r="E113" s="56">
        <v>205</v>
      </c>
      <c r="F113" s="48">
        <v>26.700000000000003</v>
      </c>
      <c r="G113" s="83"/>
      <c r="H113" s="37">
        <f>E113*G113</f>
        <v>0</v>
      </c>
      <c r="I113" s="39">
        <f>G113*F113</f>
        <v>0</v>
      </c>
    </row>
    <row r="114" spans="1:9" s="1" customFormat="1" ht="34.5" customHeight="1">
      <c r="A114" s="19" t="s">
        <v>1075</v>
      </c>
      <c r="B114" s="66" t="s">
        <v>1076</v>
      </c>
      <c r="C114" s="68"/>
      <c r="D114" s="59">
        <v>200</v>
      </c>
      <c r="E114" s="56">
        <v>360</v>
      </c>
      <c r="F114" s="48">
        <v>46.800000000000004</v>
      </c>
      <c r="G114" s="83"/>
      <c r="H114" s="37">
        <f>E114*G114</f>
        <v>0</v>
      </c>
      <c r="I114" s="39">
        <f>G114*F114</f>
        <v>0</v>
      </c>
    </row>
    <row r="115" spans="1:9" s="1" customFormat="1" ht="34.5" customHeight="1">
      <c r="A115" s="19" t="s">
        <v>1004</v>
      </c>
      <c r="B115" s="66" t="s">
        <v>1005</v>
      </c>
      <c r="C115" s="68"/>
      <c r="D115" s="59">
        <v>500</v>
      </c>
      <c r="E115" s="56">
        <v>195</v>
      </c>
      <c r="F115" s="48">
        <v>25.400000000000002</v>
      </c>
      <c r="G115" s="83"/>
      <c r="H115" s="37">
        <f>E115*G115</f>
        <v>0</v>
      </c>
      <c r="I115" s="39">
        <f>G115*F115</f>
        <v>0</v>
      </c>
    </row>
    <row r="116" spans="1:9" s="1" customFormat="1" ht="34.5" customHeight="1">
      <c r="A116" s="19" t="s">
        <v>1069</v>
      </c>
      <c r="B116" s="66" t="s">
        <v>1070</v>
      </c>
      <c r="C116" s="68"/>
      <c r="D116" s="59">
        <v>500</v>
      </c>
      <c r="E116" s="56">
        <v>178</v>
      </c>
      <c r="F116" s="48">
        <v>23.200000000000003</v>
      </c>
      <c r="G116" s="83"/>
      <c r="H116" s="37">
        <f>E116*G116</f>
        <v>0</v>
      </c>
      <c r="I116" s="39">
        <f>G116*F116</f>
        <v>0</v>
      </c>
    </row>
    <row r="117" spans="1:9" s="1" customFormat="1" ht="34.5" customHeight="1">
      <c r="A117" s="19" t="s">
        <v>1077</v>
      </c>
      <c r="B117" s="66" t="s">
        <v>1078</v>
      </c>
      <c r="C117" s="68"/>
      <c r="D117" s="59">
        <v>900</v>
      </c>
      <c r="E117" s="56">
        <v>420</v>
      </c>
      <c r="F117" s="48">
        <v>54.6</v>
      </c>
      <c r="G117" s="83"/>
      <c r="H117" s="37">
        <f>E117*G117</f>
        <v>0</v>
      </c>
      <c r="I117" s="39">
        <f>G117*F117</f>
        <v>0</v>
      </c>
    </row>
    <row r="118" spans="1:9" s="1" customFormat="1" ht="34.5" customHeight="1">
      <c r="A118" s="19" t="s">
        <v>620</v>
      </c>
      <c r="B118" s="66" t="s">
        <v>621</v>
      </c>
      <c r="C118" s="68"/>
      <c r="D118" s="59">
        <v>1800</v>
      </c>
      <c r="E118" s="56">
        <v>208</v>
      </c>
      <c r="F118" s="48">
        <v>27.1</v>
      </c>
      <c r="G118" s="83"/>
      <c r="H118" s="37">
        <f>E118*G118</f>
        <v>0</v>
      </c>
      <c r="I118" s="39">
        <f>G118*F118</f>
        <v>0</v>
      </c>
    </row>
    <row r="119" spans="1:9" s="1" customFormat="1" ht="34.5" customHeight="1">
      <c r="A119" s="19" t="s">
        <v>1002</v>
      </c>
      <c r="B119" s="66" t="s">
        <v>1003</v>
      </c>
      <c r="C119" s="68"/>
      <c r="D119" s="59">
        <v>100</v>
      </c>
      <c r="E119" s="56">
        <v>210</v>
      </c>
      <c r="F119" s="48">
        <v>27.3</v>
      </c>
      <c r="G119" s="83"/>
      <c r="H119" s="37">
        <f>E119*G119</f>
        <v>0</v>
      </c>
      <c r="I119" s="39">
        <f>G119*F119</f>
        <v>0</v>
      </c>
    </row>
    <row r="120" spans="1:9" s="1" customFormat="1" ht="34.5" customHeight="1">
      <c r="A120" s="19" t="s">
        <v>942</v>
      </c>
      <c r="B120" s="66" t="s">
        <v>943</v>
      </c>
      <c r="C120" s="68"/>
      <c r="D120" s="59">
        <v>1000</v>
      </c>
      <c r="E120" s="56">
        <v>229</v>
      </c>
      <c r="F120" s="48">
        <v>29.8</v>
      </c>
      <c r="G120" s="83"/>
      <c r="H120" s="37">
        <f>E120*G120</f>
        <v>0</v>
      </c>
      <c r="I120" s="39">
        <f>G120*F120</f>
        <v>0</v>
      </c>
    </row>
    <row r="121" spans="1:9" s="1" customFormat="1" ht="34.5" customHeight="1">
      <c r="A121" s="19" t="s">
        <v>1147</v>
      </c>
      <c r="B121" s="66" t="s">
        <v>1148</v>
      </c>
      <c r="C121" s="68"/>
      <c r="D121" s="59">
        <v>3000</v>
      </c>
      <c r="E121" s="56">
        <v>64</v>
      </c>
      <c r="F121" s="48">
        <v>8.4</v>
      </c>
      <c r="G121" s="83"/>
      <c r="H121" s="37">
        <f>E121*G121</f>
        <v>0</v>
      </c>
      <c r="I121" s="39">
        <f>G121*F121</f>
        <v>0</v>
      </c>
    </row>
    <row r="122" spans="1:9" s="1" customFormat="1" ht="34.5" customHeight="1">
      <c r="A122" s="19" t="s">
        <v>850</v>
      </c>
      <c r="B122" s="66" t="s">
        <v>851</v>
      </c>
      <c r="C122" s="68"/>
      <c r="D122" s="59">
        <v>20</v>
      </c>
      <c r="E122" s="56">
        <v>150</v>
      </c>
      <c r="F122" s="48">
        <v>19.5</v>
      </c>
      <c r="G122" s="83"/>
      <c r="H122" s="37">
        <f>E122*G122</f>
        <v>0</v>
      </c>
      <c r="I122" s="39">
        <f>G122*F122</f>
        <v>0</v>
      </c>
    </row>
    <row r="123" spans="1:9" s="1" customFormat="1" ht="34.5" customHeight="1">
      <c r="A123" s="19" t="s">
        <v>1149</v>
      </c>
      <c r="B123" s="66" t="s">
        <v>1150</v>
      </c>
      <c r="C123" s="68"/>
      <c r="D123" s="59">
        <v>3000</v>
      </c>
      <c r="E123" s="56">
        <v>60</v>
      </c>
      <c r="F123" s="48">
        <v>7.8</v>
      </c>
      <c r="G123" s="83"/>
      <c r="H123" s="37">
        <f>E123*G123</f>
        <v>0</v>
      </c>
      <c r="I123" s="39">
        <f>G123*F123</f>
        <v>0</v>
      </c>
    </row>
    <row r="124" spans="1:9" s="1" customFormat="1" ht="34.5" customHeight="1">
      <c r="A124" s="19" t="s">
        <v>180</v>
      </c>
      <c r="B124" s="66" t="s">
        <v>181</v>
      </c>
      <c r="C124" s="68"/>
      <c r="D124" s="59">
        <v>2000</v>
      </c>
      <c r="E124" s="56">
        <v>63</v>
      </c>
      <c r="F124" s="48">
        <v>8.1999999999999993</v>
      </c>
      <c r="G124" s="83"/>
      <c r="H124" s="37">
        <f>E124*G124</f>
        <v>0</v>
      </c>
      <c r="I124" s="39">
        <f>G124*F124</f>
        <v>0</v>
      </c>
    </row>
    <row r="125" spans="1:9" s="1" customFormat="1" ht="34.5" customHeight="1">
      <c r="A125" s="19" t="s">
        <v>1112</v>
      </c>
      <c r="B125" s="66" t="s">
        <v>1129</v>
      </c>
      <c r="C125" s="68"/>
      <c r="D125" s="59">
        <v>1000</v>
      </c>
      <c r="E125" s="56">
        <v>220</v>
      </c>
      <c r="F125" s="48">
        <f>ROUNDUP(E125/7.7,1)</f>
        <v>28.6</v>
      </c>
      <c r="G125" s="83"/>
      <c r="H125" s="37">
        <f>E125*G125</f>
        <v>0</v>
      </c>
      <c r="I125" s="39">
        <f>G125*F125</f>
        <v>0</v>
      </c>
    </row>
    <row r="126" spans="1:9" s="1" customFormat="1" ht="34.5" customHeight="1">
      <c r="A126" s="19" t="s">
        <v>1111</v>
      </c>
      <c r="B126" s="66" t="s">
        <v>1128</v>
      </c>
      <c r="C126" s="68"/>
      <c r="D126" s="59">
        <v>1000</v>
      </c>
      <c r="E126" s="56">
        <v>265</v>
      </c>
      <c r="F126" s="48">
        <f>ROUNDUP(E126/7.7,1)</f>
        <v>34.5</v>
      </c>
      <c r="G126" s="83"/>
      <c r="H126" s="37">
        <f>E126*G126</f>
        <v>0</v>
      </c>
      <c r="I126" s="39">
        <f>G126*F126</f>
        <v>0</v>
      </c>
    </row>
    <row r="127" spans="1:9" s="1" customFormat="1" ht="34.5" customHeight="1">
      <c r="A127" s="19" t="s">
        <v>1006</v>
      </c>
      <c r="B127" s="66" t="s">
        <v>1007</v>
      </c>
      <c r="C127" s="68"/>
      <c r="D127" s="59">
        <v>5000</v>
      </c>
      <c r="E127" s="56">
        <v>105</v>
      </c>
      <c r="F127" s="48">
        <f>ROUNDUP(E127/7.7,1)</f>
        <v>13.7</v>
      </c>
      <c r="G127" s="83"/>
      <c r="H127" s="37">
        <f>E127*G127</f>
        <v>0</v>
      </c>
      <c r="I127" s="39">
        <f>G127*F127</f>
        <v>0</v>
      </c>
    </row>
    <row r="128" spans="1:9" s="1" customFormat="1" ht="34.5" customHeight="1">
      <c r="A128" s="19" t="s">
        <v>954</v>
      </c>
      <c r="B128" s="66" t="s">
        <v>955</v>
      </c>
      <c r="C128" s="68"/>
      <c r="D128" s="59">
        <v>5000</v>
      </c>
      <c r="E128" s="56">
        <v>129</v>
      </c>
      <c r="F128" s="48">
        <v>16.8</v>
      </c>
      <c r="G128" s="83"/>
      <c r="H128" s="37">
        <f>E128*G128</f>
        <v>0</v>
      </c>
      <c r="I128" s="39">
        <f>G128*F128</f>
        <v>0</v>
      </c>
    </row>
    <row r="129" spans="1:9" s="1" customFormat="1" ht="34.5" customHeight="1">
      <c r="A129" s="19" t="s">
        <v>1008</v>
      </c>
      <c r="B129" s="66" t="s">
        <v>1151</v>
      </c>
      <c r="C129" s="68"/>
      <c r="D129" s="59">
        <v>800</v>
      </c>
      <c r="E129" s="56">
        <v>160</v>
      </c>
      <c r="F129" s="48">
        <f>ROUNDUP(E129/7.7,1)</f>
        <v>20.8</v>
      </c>
      <c r="G129" s="83"/>
      <c r="H129" s="37">
        <f>E129*G129</f>
        <v>0</v>
      </c>
      <c r="I129" s="39">
        <f>G129*F129</f>
        <v>0</v>
      </c>
    </row>
    <row r="130" spans="1:9" s="1" customFormat="1" ht="34.5" customHeight="1">
      <c r="A130" s="19" t="s">
        <v>978</v>
      </c>
      <c r="B130" s="66" t="s">
        <v>979</v>
      </c>
      <c r="C130" s="68"/>
      <c r="D130" s="59">
        <v>240</v>
      </c>
      <c r="E130" s="56">
        <v>136</v>
      </c>
      <c r="F130" s="48">
        <f>ROUNDUP(E130/7.7,1)</f>
        <v>17.700000000000003</v>
      </c>
      <c r="G130" s="83"/>
      <c r="H130" s="37">
        <f>E130*G130</f>
        <v>0</v>
      </c>
      <c r="I130" s="39">
        <f>G130*F130</f>
        <v>0</v>
      </c>
    </row>
    <row r="131" spans="1:9" s="1" customFormat="1" ht="34.5" customHeight="1">
      <c r="A131" s="19" t="s">
        <v>980</v>
      </c>
      <c r="B131" s="66" t="s">
        <v>981</v>
      </c>
      <c r="C131" s="68"/>
      <c r="D131" s="59">
        <v>200</v>
      </c>
      <c r="E131" s="56">
        <v>135</v>
      </c>
      <c r="F131" s="48">
        <v>17.600000000000001</v>
      </c>
      <c r="G131" s="83"/>
      <c r="H131" s="37">
        <f>E131*G131</f>
        <v>0</v>
      </c>
      <c r="I131" s="39">
        <f>G131*F131</f>
        <v>0</v>
      </c>
    </row>
    <row r="132" spans="1:9" s="1" customFormat="1" ht="34.5" customHeight="1">
      <c r="A132" s="19" t="s">
        <v>1058</v>
      </c>
      <c r="B132" s="66" t="s">
        <v>1251</v>
      </c>
      <c r="C132" s="68"/>
      <c r="D132" s="59">
        <v>400</v>
      </c>
      <c r="E132" s="56">
        <v>620</v>
      </c>
      <c r="F132" s="48">
        <v>80.599999999999994</v>
      </c>
      <c r="G132" s="83"/>
      <c r="H132" s="37">
        <f>E132*G132</f>
        <v>0</v>
      </c>
      <c r="I132" s="39">
        <f>G132*F132</f>
        <v>0</v>
      </c>
    </row>
    <row r="133" spans="1:9" s="1" customFormat="1" ht="34.5" customHeight="1">
      <c r="A133" s="19" t="s">
        <v>410</v>
      </c>
      <c r="B133" s="66" t="s">
        <v>1252</v>
      </c>
      <c r="C133" s="68"/>
      <c r="D133" s="59">
        <v>500</v>
      </c>
      <c r="E133" s="56">
        <v>495</v>
      </c>
      <c r="F133" s="48">
        <v>64.3</v>
      </c>
      <c r="G133" s="83"/>
      <c r="H133" s="37">
        <f>E133*G133</f>
        <v>0</v>
      </c>
      <c r="I133" s="39">
        <f>G133*F133</f>
        <v>0</v>
      </c>
    </row>
    <row r="134" spans="1:9" s="1" customFormat="1" ht="34.5" customHeight="1">
      <c r="A134" s="19" t="s">
        <v>697</v>
      </c>
      <c r="B134" s="66" t="s">
        <v>698</v>
      </c>
      <c r="C134" s="68"/>
      <c r="D134" s="59">
        <v>2000</v>
      </c>
      <c r="E134" s="56">
        <v>145</v>
      </c>
      <c r="F134" s="48">
        <v>18.900000000000002</v>
      </c>
      <c r="G134" s="83"/>
      <c r="H134" s="37">
        <f>E134*G134</f>
        <v>0</v>
      </c>
      <c r="I134" s="39">
        <f>G134*F134</f>
        <v>0</v>
      </c>
    </row>
    <row r="135" spans="1:9" s="1" customFormat="1" ht="34.5" customHeight="1">
      <c r="A135" s="19" t="s">
        <v>777</v>
      </c>
      <c r="B135" s="66" t="s">
        <v>778</v>
      </c>
      <c r="C135" s="68"/>
      <c r="D135" s="59">
        <v>1000</v>
      </c>
      <c r="E135" s="56">
        <v>247</v>
      </c>
      <c r="F135" s="48">
        <v>32.1</v>
      </c>
      <c r="G135" s="83"/>
      <c r="H135" s="37">
        <f>E135*G135</f>
        <v>0</v>
      </c>
      <c r="I135" s="39">
        <f>G135*F135</f>
        <v>0</v>
      </c>
    </row>
    <row r="136" spans="1:9" s="1" customFormat="1" ht="34.5" customHeight="1">
      <c r="A136" s="19" t="s">
        <v>185</v>
      </c>
      <c r="B136" s="66" t="s">
        <v>186</v>
      </c>
      <c r="C136" s="68"/>
      <c r="D136" s="59">
        <v>5000</v>
      </c>
      <c r="E136" s="56">
        <v>85</v>
      </c>
      <c r="F136" s="48">
        <v>11.1</v>
      </c>
      <c r="G136" s="83"/>
      <c r="H136" s="37">
        <f>E136*G136</f>
        <v>0</v>
      </c>
      <c r="I136" s="39">
        <f>G136*F136</f>
        <v>0</v>
      </c>
    </row>
    <row r="137" spans="1:9" s="1" customFormat="1" ht="34.5" customHeight="1">
      <c r="A137" s="19" t="s">
        <v>790</v>
      </c>
      <c r="B137" s="66" t="s">
        <v>791</v>
      </c>
      <c r="C137" s="68"/>
      <c r="D137" s="59">
        <v>2000</v>
      </c>
      <c r="E137" s="56">
        <v>59</v>
      </c>
      <c r="F137" s="48">
        <v>7.6999999999999993</v>
      </c>
      <c r="G137" s="83"/>
      <c r="H137" s="37">
        <f>E137*G137</f>
        <v>0</v>
      </c>
      <c r="I137" s="39">
        <f>G137*F137</f>
        <v>0</v>
      </c>
    </row>
    <row r="138" spans="1:9" s="1" customFormat="1" ht="34.5" customHeight="1">
      <c r="A138" s="19" t="s">
        <v>411</v>
      </c>
      <c r="B138" s="66" t="s">
        <v>1253</v>
      </c>
      <c r="C138" s="68"/>
      <c r="D138" s="59">
        <v>100</v>
      </c>
      <c r="E138" s="56">
        <v>110</v>
      </c>
      <c r="F138" s="48">
        <v>14.299999999999999</v>
      </c>
      <c r="G138" s="83"/>
      <c r="H138" s="37">
        <f>E138*G138</f>
        <v>0</v>
      </c>
      <c r="I138" s="39">
        <f>G138*F138</f>
        <v>0</v>
      </c>
    </row>
    <row r="139" spans="1:9" s="1" customFormat="1" ht="34.5" customHeight="1">
      <c r="A139" s="19" t="s">
        <v>414</v>
      </c>
      <c r="B139" s="66" t="s">
        <v>415</v>
      </c>
      <c r="C139" s="68"/>
      <c r="D139" s="59">
        <v>1000</v>
      </c>
      <c r="E139" s="56">
        <v>98</v>
      </c>
      <c r="F139" s="48">
        <v>12.799999999999999</v>
      </c>
      <c r="G139" s="83"/>
      <c r="H139" s="37">
        <f>E139*G139</f>
        <v>0</v>
      </c>
      <c r="I139" s="39">
        <f>G139*F139</f>
        <v>0</v>
      </c>
    </row>
    <row r="140" spans="1:9" s="1" customFormat="1" ht="34.5" customHeight="1">
      <c r="A140" s="19" t="s">
        <v>412</v>
      </c>
      <c r="B140" s="66" t="s">
        <v>413</v>
      </c>
      <c r="C140" s="68"/>
      <c r="D140" s="59">
        <v>1000</v>
      </c>
      <c r="E140" s="56">
        <v>86</v>
      </c>
      <c r="F140" s="48">
        <v>11.2</v>
      </c>
      <c r="G140" s="83"/>
      <c r="H140" s="37">
        <f>E140*G140</f>
        <v>0</v>
      </c>
      <c r="I140" s="39">
        <f>G140*F140</f>
        <v>0</v>
      </c>
    </row>
    <row r="141" spans="1:9" s="1" customFormat="1" ht="34.5" customHeight="1">
      <c r="A141" s="19" t="s">
        <v>187</v>
      </c>
      <c r="B141" s="66" t="s">
        <v>188</v>
      </c>
      <c r="C141" s="68"/>
      <c r="D141" s="59">
        <v>1000</v>
      </c>
      <c r="E141" s="56">
        <v>68</v>
      </c>
      <c r="F141" s="48">
        <v>8.9</v>
      </c>
      <c r="G141" s="83"/>
      <c r="H141" s="37">
        <f>E141*G141</f>
        <v>0</v>
      </c>
      <c r="I141" s="39">
        <f>G141*F141</f>
        <v>0</v>
      </c>
    </row>
    <row r="142" spans="1:9" s="1" customFormat="1" ht="34.5" customHeight="1">
      <c r="A142" s="19" t="s">
        <v>183</v>
      </c>
      <c r="B142" s="66" t="s">
        <v>184</v>
      </c>
      <c r="C142" s="68"/>
      <c r="D142" s="59">
        <v>1666</v>
      </c>
      <c r="E142" s="56">
        <v>188</v>
      </c>
      <c r="F142" s="48">
        <v>24.5</v>
      </c>
      <c r="G142" s="83"/>
      <c r="H142" s="37">
        <f>E142*G142</f>
        <v>0</v>
      </c>
      <c r="I142" s="39">
        <f>G142*F142</f>
        <v>0</v>
      </c>
    </row>
    <row r="143" spans="1:9" s="1" customFormat="1" ht="34.5" customHeight="1">
      <c r="A143" s="19" t="s">
        <v>654</v>
      </c>
      <c r="B143" s="66" t="s">
        <v>1153</v>
      </c>
      <c r="C143" s="68"/>
      <c r="D143" s="59">
        <v>2000</v>
      </c>
      <c r="E143" s="56">
        <v>260</v>
      </c>
      <c r="F143" s="48">
        <v>33.800000000000004</v>
      </c>
      <c r="G143" s="83"/>
      <c r="H143" s="37">
        <f>E143*G143</f>
        <v>0</v>
      </c>
      <c r="I143" s="39">
        <f>G143*F143</f>
        <v>0</v>
      </c>
    </row>
    <row r="144" spans="1:9" s="1" customFormat="1" ht="34.5" customHeight="1">
      <c r="A144" s="19" t="s">
        <v>189</v>
      </c>
      <c r="B144" s="66" t="s">
        <v>190</v>
      </c>
      <c r="C144" s="68"/>
      <c r="D144" s="59">
        <v>178</v>
      </c>
      <c r="E144" s="56">
        <v>90</v>
      </c>
      <c r="F144" s="48">
        <v>11.7</v>
      </c>
      <c r="G144" s="83"/>
      <c r="H144" s="37">
        <f>E144*G144</f>
        <v>0</v>
      </c>
      <c r="I144" s="39">
        <f>G144*F144</f>
        <v>0</v>
      </c>
    </row>
    <row r="145" spans="1:9" s="1" customFormat="1" ht="34.5" customHeight="1">
      <c r="A145" s="19" t="s">
        <v>903</v>
      </c>
      <c r="B145" s="66" t="s">
        <v>904</v>
      </c>
      <c r="C145" s="68"/>
      <c r="D145" s="59">
        <v>3000</v>
      </c>
      <c r="E145" s="56">
        <v>85</v>
      </c>
      <c r="F145" s="48">
        <v>11.1</v>
      </c>
      <c r="G145" s="83"/>
      <c r="H145" s="37">
        <f>E145*G145</f>
        <v>0</v>
      </c>
      <c r="I145" s="39">
        <f>G145*F145</f>
        <v>0</v>
      </c>
    </row>
    <row r="146" spans="1:9" s="1" customFormat="1" ht="34.5" customHeight="1">
      <c r="A146" s="19" t="s">
        <v>182</v>
      </c>
      <c r="B146" s="66" t="s">
        <v>1152</v>
      </c>
      <c r="C146" s="68"/>
      <c r="D146" s="59">
        <v>30</v>
      </c>
      <c r="E146" s="56">
        <v>247</v>
      </c>
      <c r="F146" s="48">
        <v>32.1</v>
      </c>
      <c r="G146" s="83"/>
      <c r="H146" s="37">
        <f>E146*G146</f>
        <v>0</v>
      </c>
      <c r="I146" s="39">
        <f>G146*F146</f>
        <v>0</v>
      </c>
    </row>
    <row r="147" spans="1:9" s="1" customFormat="1" ht="34.5" customHeight="1">
      <c r="A147" s="19" t="s">
        <v>1325</v>
      </c>
      <c r="B147" s="66" t="s">
        <v>1326</v>
      </c>
      <c r="C147" s="68"/>
      <c r="D147" s="59">
        <v>500</v>
      </c>
      <c r="E147" s="56">
        <v>238</v>
      </c>
      <c r="F147" s="48">
        <v>31</v>
      </c>
      <c r="G147" s="83"/>
      <c r="H147" s="37">
        <f>E147*G147</f>
        <v>0</v>
      </c>
      <c r="I147" s="39">
        <f>G147*F147</f>
        <v>0</v>
      </c>
    </row>
    <row r="148" spans="1:9" s="1" customFormat="1" ht="34.5" customHeight="1">
      <c r="A148" s="19" t="s">
        <v>1329</v>
      </c>
      <c r="B148" s="66" t="s">
        <v>1330</v>
      </c>
      <c r="C148" s="68"/>
      <c r="D148" s="59">
        <v>500</v>
      </c>
      <c r="E148" s="56">
        <v>239</v>
      </c>
      <c r="F148" s="48">
        <v>31.1</v>
      </c>
      <c r="G148" s="83"/>
      <c r="H148" s="37">
        <f>E148*G148</f>
        <v>0</v>
      </c>
      <c r="I148" s="39">
        <f>G148*F148</f>
        <v>0</v>
      </c>
    </row>
    <row r="149" spans="1:9" s="1" customFormat="1" ht="34.5" customHeight="1">
      <c r="A149" s="19" t="s">
        <v>655</v>
      </c>
      <c r="B149" s="66" t="s">
        <v>1155</v>
      </c>
      <c r="C149" s="68"/>
      <c r="D149" s="59">
        <v>2000</v>
      </c>
      <c r="E149" s="56">
        <v>223.3</v>
      </c>
      <c r="F149" s="48">
        <f>ROUNDUP(E149/7.7,1)</f>
        <v>29</v>
      </c>
      <c r="G149" s="83"/>
      <c r="H149" s="37">
        <f>E149*G149</f>
        <v>0</v>
      </c>
      <c r="I149" s="39">
        <f>G149*F149</f>
        <v>0</v>
      </c>
    </row>
    <row r="150" spans="1:9" s="1" customFormat="1" ht="34.5" customHeight="1">
      <c r="A150" s="19" t="s">
        <v>383</v>
      </c>
      <c r="B150" s="66" t="s">
        <v>513</v>
      </c>
      <c r="C150" s="68"/>
      <c r="D150" s="59">
        <v>1000</v>
      </c>
      <c r="E150" s="56">
        <v>463</v>
      </c>
      <c r="F150" s="48">
        <f>ROUNDUP(E150/7.7,1)</f>
        <v>60.2</v>
      </c>
      <c r="G150" s="83"/>
      <c r="H150" s="37">
        <f>E150*G150</f>
        <v>0</v>
      </c>
      <c r="I150" s="39">
        <f>G150*F150</f>
        <v>0</v>
      </c>
    </row>
    <row r="151" spans="1:9" s="1" customFormat="1" ht="34.5" customHeight="1">
      <c r="A151" s="19" t="s">
        <v>852</v>
      </c>
      <c r="B151" s="66" t="s">
        <v>853</v>
      </c>
      <c r="C151" s="68"/>
      <c r="D151" s="59">
        <v>2000</v>
      </c>
      <c r="E151" s="56">
        <v>1048</v>
      </c>
      <c r="F151" s="48">
        <f>ROUNDUP(E151/7.7,1)</f>
        <v>136.19999999999999</v>
      </c>
      <c r="G151" s="83"/>
      <c r="H151" s="37">
        <f>E151*G151</f>
        <v>0</v>
      </c>
      <c r="I151" s="39">
        <f>G151*F151</f>
        <v>0</v>
      </c>
    </row>
    <row r="152" spans="1:9" s="1" customFormat="1" ht="34.5" customHeight="1">
      <c r="A152" s="19" t="s">
        <v>334</v>
      </c>
      <c r="B152" s="66" t="s">
        <v>335</v>
      </c>
      <c r="C152" s="68"/>
      <c r="D152" s="59">
        <v>3000</v>
      </c>
      <c r="E152" s="56">
        <v>293</v>
      </c>
      <c r="F152" s="48">
        <v>38.1</v>
      </c>
      <c r="G152" s="83"/>
      <c r="H152" s="37">
        <f>E152*G152</f>
        <v>0</v>
      </c>
      <c r="I152" s="39">
        <f>G152*F152</f>
        <v>0</v>
      </c>
    </row>
    <row r="153" spans="1:9" s="1" customFormat="1" ht="34.5" customHeight="1">
      <c r="A153" s="19" t="s">
        <v>1323</v>
      </c>
      <c r="B153" s="66" t="s">
        <v>1324</v>
      </c>
      <c r="C153" s="68"/>
      <c r="D153" s="59">
        <v>500</v>
      </c>
      <c r="E153" s="56">
        <v>255</v>
      </c>
      <c r="F153" s="48">
        <v>33.200000000000003</v>
      </c>
      <c r="G153" s="83"/>
      <c r="H153" s="37">
        <f>E153*G153</f>
        <v>0</v>
      </c>
      <c r="I153" s="39">
        <f>G153*F153</f>
        <v>0</v>
      </c>
    </row>
    <row r="154" spans="1:9" s="1" customFormat="1" ht="34.5" customHeight="1">
      <c r="A154" s="19" t="s">
        <v>1331</v>
      </c>
      <c r="B154" s="66" t="s">
        <v>1332</v>
      </c>
      <c r="C154" s="68"/>
      <c r="D154" s="59">
        <v>500</v>
      </c>
      <c r="E154" s="56">
        <v>223</v>
      </c>
      <c r="F154" s="48">
        <v>29</v>
      </c>
      <c r="G154" s="83"/>
      <c r="H154" s="37">
        <f>E154*G154</f>
        <v>0</v>
      </c>
      <c r="I154" s="39">
        <f>G154*F154</f>
        <v>0</v>
      </c>
    </row>
    <row r="155" spans="1:9" s="1" customFormat="1" ht="34.5" customHeight="1">
      <c r="A155" s="19" t="s">
        <v>917</v>
      </c>
      <c r="B155" s="66" t="s">
        <v>918</v>
      </c>
      <c r="C155" s="68"/>
      <c r="D155" s="59">
        <v>5</v>
      </c>
      <c r="E155" s="56">
        <v>180</v>
      </c>
      <c r="F155" s="48">
        <v>23.400000000000002</v>
      </c>
      <c r="G155" s="83"/>
      <c r="H155" s="37">
        <f>E155*G155</f>
        <v>0</v>
      </c>
      <c r="I155" s="39">
        <f>G155*F155</f>
        <v>0</v>
      </c>
    </row>
    <row r="156" spans="1:9" s="1" customFormat="1" ht="34.5" customHeight="1">
      <c r="A156" s="19" t="s">
        <v>1327</v>
      </c>
      <c r="B156" s="66" t="s">
        <v>1328</v>
      </c>
      <c r="C156" s="68"/>
      <c r="D156" s="59">
        <v>500</v>
      </c>
      <c r="E156" s="56">
        <v>239</v>
      </c>
      <c r="F156" s="48">
        <v>31.1</v>
      </c>
      <c r="G156" s="83"/>
      <c r="H156" s="37">
        <f>E156*G156</f>
        <v>0</v>
      </c>
      <c r="I156" s="39">
        <f>G156*F156</f>
        <v>0</v>
      </c>
    </row>
    <row r="157" spans="1:9" s="1" customFormat="1" ht="34.5" customHeight="1">
      <c r="A157" s="19" t="s">
        <v>1009</v>
      </c>
      <c r="B157" s="66" t="s">
        <v>1010</v>
      </c>
      <c r="C157" s="68"/>
      <c r="D157" s="59">
        <v>1000</v>
      </c>
      <c r="E157" s="56">
        <v>125</v>
      </c>
      <c r="F157" s="48">
        <v>16.3</v>
      </c>
      <c r="G157" s="83"/>
      <c r="H157" s="37">
        <f>E157*G157</f>
        <v>0</v>
      </c>
      <c r="I157" s="39">
        <f>G157*F157</f>
        <v>0</v>
      </c>
    </row>
    <row r="158" spans="1:9" s="1" customFormat="1" ht="34.5" customHeight="1">
      <c r="A158" s="19" t="s">
        <v>1059</v>
      </c>
      <c r="B158" s="66" t="s">
        <v>1060</v>
      </c>
      <c r="C158" s="68"/>
      <c r="D158" s="59">
        <v>900</v>
      </c>
      <c r="E158" s="56">
        <v>250</v>
      </c>
      <c r="F158" s="48">
        <v>32.5</v>
      </c>
      <c r="G158" s="83"/>
      <c r="H158" s="37">
        <f>E158*G158</f>
        <v>0</v>
      </c>
      <c r="I158" s="39">
        <f>G158*F158</f>
        <v>0</v>
      </c>
    </row>
    <row r="159" spans="1:9" s="1" customFormat="1" ht="34.5" customHeight="1">
      <c r="A159" s="19" t="s">
        <v>199</v>
      </c>
      <c r="B159" s="66" t="s">
        <v>200</v>
      </c>
      <c r="C159" s="68"/>
      <c r="D159" s="59">
        <v>1000</v>
      </c>
      <c r="E159" s="56">
        <v>395</v>
      </c>
      <c r="F159" s="48">
        <v>51.300000000000004</v>
      </c>
      <c r="G159" s="83"/>
      <c r="H159" s="37">
        <f>E159*G159</f>
        <v>0</v>
      </c>
      <c r="I159" s="39">
        <f>G159*F159</f>
        <v>0</v>
      </c>
    </row>
    <row r="160" spans="1:9" s="1" customFormat="1" ht="34.5" customHeight="1">
      <c r="A160" s="19" t="s">
        <v>197</v>
      </c>
      <c r="B160" s="66" t="s">
        <v>198</v>
      </c>
      <c r="C160" s="68"/>
      <c r="D160" s="59">
        <v>1000</v>
      </c>
      <c r="E160" s="56">
        <v>395</v>
      </c>
      <c r="F160" s="48">
        <v>51.300000000000004</v>
      </c>
      <c r="G160" s="83"/>
      <c r="H160" s="37">
        <f>E160*G160</f>
        <v>0</v>
      </c>
      <c r="I160" s="39">
        <f>G160*F160</f>
        <v>0</v>
      </c>
    </row>
    <row r="161" spans="1:9" s="1" customFormat="1" ht="34.5" customHeight="1">
      <c r="A161" s="19" t="s">
        <v>195</v>
      </c>
      <c r="B161" s="66" t="s">
        <v>1154</v>
      </c>
      <c r="C161" s="68"/>
      <c r="D161" s="59">
        <v>1000</v>
      </c>
      <c r="E161" s="56">
        <v>368</v>
      </c>
      <c r="F161" s="48">
        <f>ROUNDUP(E161/7.7,1)</f>
        <v>47.800000000000004</v>
      </c>
      <c r="G161" s="83"/>
      <c r="H161" s="37">
        <f>E161*G161</f>
        <v>0</v>
      </c>
      <c r="I161" s="39">
        <f>G161*F161</f>
        <v>0</v>
      </c>
    </row>
    <row r="162" spans="1:9" s="1" customFormat="1" ht="34.5" customHeight="1">
      <c r="A162" s="19" t="s">
        <v>196</v>
      </c>
      <c r="B162" s="66" t="s">
        <v>491</v>
      </c>
      <c r="C162" s="68"/>
      <c r="D162" s="59">
        <v>3000</v>
      </c>
      <c r="E162" s="56">
        <v>130</v>
      </c>
      <c r="F162" s="48">
        <v>16.900000000000002</v>
      </c>
      <c r="G162" s="83"/>
      <c r="H162" s="37">
        <f>E162*G162</f>
        <v>0</v>
      </c>
      <c r="I162" s="39">
        <f>G162*F162</f>
        <v>0</v>
      </c>
    </row>
    <row r="163" spans="1:9" s="1" customFormat="1" ht="34.5" customHeight="1">
      <c r="A163" s="19" t="s">
        <v>794</v>
      </c>
      <c r="B163" s="66" t="s">
        <v>795</v>
      </c>
      <c r="C163" s="68"/>
      <c r="D163" s="59">
        <v>1000</v>
      </c>
      <c r="E163" s="56">
        <v>269</v>
      </c>
      <c r="F163" s="48">
        <v>35</v>
      </c>
      <c r="G163" s="83"/>
      <c r="H163" s="37">
        <f>E163*G163</f>
        <v>0</v>
      </c>
      <c r="I163" s="39">
        <f>G163*F163</f>
        <v>0</v>
      </c>
    </row>
    <row r="164" spans="1:9" s="1" customFormat="1" ht="34.5" customHeight="1">
      <c r="A164" s="19" t="s">
        <v>1319</v>
      </c>
      <c r="B164" s="66" t="s">
        <v>1320</v>
      </c>
      <c r="C164" s="68"/>
      <c r="D164" s="59">
        <v>900</v>
      </c>
      <c r="E164" s="56">
        <v>570</v>
      </c>
      <c r="F164" s="48">
        <v>74.099999999999994</v>
      </c>
      <c r="G164" s="83"/>
      <c r="H164" s="37">
        <f>E164*G164</f>
        <v>0</v>
      </c>
      <c r="I164" s="39">
        <f>G164*F164</f>
        <v>0</v>
      </c>
    </row>
    <row r="165" spans="1:9" s="1" customFormat="1" ht="34.5" customHeight="1">
      <c r="A165" s="19" t="s">
        <v>1321</v>
      </c>
      <c r="B165" s="66" t="s">
        <v>1322</v>
      </c>
      <c r="C165" s="68"/>
      <c r="D165" s="59">
        <v>200</v>
      </c>
      <c r="E165" s="56">
        <v>313</v>
      </c>
      <c r="F165" s="48">
        <v>40.700000000000003</v>
      </c>
      <c r="G165" s="83"/>
      <c r="H165" s="37">
        <f>E165*G165</f>
        <v>0</v>
      </c>
      <c r="I165" s="39">
        <f>G165*F165</f>
        <v>0</v>
      </c>
    </row>
    <row r="166" spans="1:9" s="1" customFormat="1" ht="34.5" customHeight="1">
      <c r="A166" s="19" t="s">
        <v>193</v>
      </c>
      <c r="B166" s="66" t="s">
        <v>194</v>
      </c>
      <c r="C166" s="68"/>
      <c r="D166" s="59">
        <v>2000</v>
      </c>
      <c r="E166" s="56">
        <v>190</v>
      </c>
      <c r="F166" s="48">
        <v>24.700000000000003</v>
      </c>
      <c r="G166" s="83"/>
      <c r="H166" s="37">
        <f>E166*G166</f>
        <v>0</v>
      </c>
      <c r="I166" s="39">
        <f>G166*F166</f>
        <v>0</v>
      </c>
    </row>
    <row r="167" spans="1:9" s="1" customFormat="1" ht="34.5" customHeight="1">
      <c r="A167" s="19" t="s">
        <v>201</v>
      </c>
      <c r="B167" s="66" t="s">
        <v>202</v>
      </c>
      <c r="C167" s="68"/>
      <c r="D167" s="59">
        <v>150</v>
      </c>
      <c r="E167" s="56">
        <v>165</v>
      </c>
      <c r="F167" s="48">
        <v>21.5</v>
      </c>
      <c r="G167" s="83"/>
      <c r="H167" s="37">
        <f>E167*G167</f>
        <v>0</v>
      </c>
      <c r="I167" s="39">
        <f>G167*F167</f>
        <v>0</v>
      </c>
    </row>
    <row r="168" spans="1:9" s="1" customFormat="1" ht="34.5" customHeight="1">
      <c r="A168" s="19" t="s">
        <v>203</v>
      </c>
      <c r="B168" s="66" t="s">
        <v>204</v>
      </c>
      <c r="C168" s="68"/>
      <c r="D168" s="59">
        <v>300</v>
      </c>
      <c r="E168" s="56">
        <v>150</v>
      </c>
      <c r="F168" s="48">
        <v>19.5</v>
      </c>
      <c r="G168" s="83"/>
      <c r="H168" s="37">
        <f>E168*G168</f>
        <v>0</v>
      </c>
      <c r="I168" s="39">
        <f>G168*F168</f>
        <v>0</v>
      </c>
    </row>
    <row r="169" spans="1:9" s="1" customFormat="1" ht="34.5" customHeight="1">
      <c r="A169" s="19" t="s">
        <v>205</v>
      </c>
      <c r="B169" s="66" t="s">
        <v>1156</v>
      </c>
      <c r="C169" s="68"/>
      <c r="D169" s="59">
        <v>20</v>
      </c>
      <c r="E169" s="56">
        <v>110</v>
      </c>
      <c r="F169" s="48">
        <v>14.299999999999999</v>
      </c>
      <c r="G169" s="83"/>
      <c r="H169" s="37">
        <f>E169*G169</f>
        <v>0</v>
      </c>
      <c r="I169" s="39">
        <f>G169*F169</f>
        <v>0</v>
      </c>
    </row>
    <row r="170" spans="1:9" s="1" customFormat="1" ht="34.5" customHeight="1">
      <c r="A170" s="19" t="s">
        <v>889</v>
      </c>
      <c r="B170" s="66" t="s">
        <v>890</v>
      </c>
      <c r="C170" s="68"/>
      <c r="D170" s="59">
        <v>5</v>
      </c>
      <c r="E170" s="56">
        <v>218</v>
      </c>
      <c r="F170" s="48">
        <v>28.400000000000002</v>
      </c>
      <c r="G170" s="83"/>
      <c r="H170" s="37">
        <f>E170*G170</f>
        <v>0</v>
      </c>
      <c r="I170" s="39">
        <f>G170*F170</f>
        <v>0</v>
      </c>
    </row>
    <row r="171" spans="1:9" s="1" customFormat="1" ht="34.5" customHeight="1">
      <c r="A171" s="19" t="s">
        <v>206</v>
      </c>
      <c r="B171" s="66" t="s">
        <v>207</v>
      </c>
      <c r="C171" s="68"/>
      <c r="D171" s="59">
        <v>35</v>
      </c>
      <c r="E171" s="56">
        <v>130</v>
      </c>
      <c r="F171" s="48">
        <v>16.900000000000002</v>
      </c>
      <c r="G171" s="83"/>
      <c r="H171" s="37">
        <f>E171*G171</f>
        <v>0</v>
      </c>
      <c r="I171" s="39">
        <f>G171*F171</f>
        <v>0</v>
      </c>
    </row>
    <row r="172" spans="1:9" s="1" customFormat="1" ht="34.5" customHeight="1">
      <c r="A172" s="19" t="s">
        <v>208</v>
      </c>
      <c r="B172" s="66" t="s">
        <v>1011</v>
      </c>
      <c r="C172" s="68"/>
      <c r="D172" s="59">
        <v>600</v>
      </c>
      <c r="E172" s="56">
        <v>170</v>
      </c>
      <c r="F172" s="48">
        <v>22.1</v>
      </c>
      <c r="G172" s="83"/>
      <c r="H172" s="37">
        <f>E172*G172</f>
        <v>0</v>
      </c>
      <c r="I172" s="39">
        <f>G172*F172</f>
        <v>0</v>
      </c>
    </row>
    <row r="173" spans="1:9" s="1" customFormat="1" ht="34.5" customHeight="1">
      <c r="A173" s="19" t="s">
        <v>416</v>
      </c>
      <c r="B173" s="66" t="s">
        <v>544</v>
      </c>
      <c r="C173" s="68"/>
      <c r="D173" s="59">
        <v>600</v>
      </c>
      <c r="E173" s="56">
        <v>355</v>
      </c>
      <c r="F173" s="48">
        <v>46.2</v>
      </c>
      <c r="G173" s="83"/>
      <c r="H173" s="37">
        <f>E173*G173</f>
        <v>0</v>
      </c>
      <c r="I173" s="39">
        <f>G173*F173</f>
        <v>0</v>
      </c>
    </row>
    <row r="174" spans="1:9" s="1" customFormat="1" ht="34.5" customHeight="1">
      <c r="A174" s="19" t="s">
        <v>905</v>
      </c>
      <c r="B174" s="66" t="s">
        <v>906</v>
      </c>
      <c r="C174" s="68"/>
      <c r="D174" s="59">
        <v>50</v>
      </c>
      <c r="E174" s="56">
        <v>178</v>
      </c>
      <c r="F174" s="48">
        <v>23.200000000000003</v>
      </c>
      <c r="G174" s="83"/>
      <c r="H174" s="37">
        <f>E174*G174</f>
        <v>0</v>
      </c>
      <c r="I174" s="39">
        <f>G174*F174</f>
        <v>0</v>
      </c>
    </row>
    <row r="175" spans="1:9" s="1" customFormat="1" ht="34.5" customHeight="1">
      <c r="A175" s="19" t="s">
        <v>209</v>
      </c>
      <c r="B175" s="66" t="s">
        <v>210</v>
      </c>
      <c r="C175" s="68"/>
      <c r="D175" s="59">
        <v>1091</v>
      </c>
      <c r="E175" s="56">
        <v>230</v>
      </c>
      <c r="F175" s="48">
        <v>29.900000000000002</v>
      </c>
      <c r="G175" s="83"/>
      <c r="H175" s="37">
        <f>E175*G175</f>
        <v>0</v>
      </c>
      <c r="I175" s="39">
        <f>G175*F175</f>
        <v>0</v>
      </c>
    </row>
    <row r="176" spans="1:9" s="1" customFormat="1" ht="34.5" customHeight="1">
      <c r="A176" s="19" t="s">
        <v>944</v>
      </c>
      <c r="B176" s="66" t="s">
        <v>945</v>
      </c>
      <c r="C176" s="68"/>
      <c r="D176" s="59">
        <v>600</v>
      </c>
      <c r="E176" s="56">
        <v>253</v>
      </c>
      <c r="F176" s="48">
        <v>32.9</v>
      </c>
      <c r="G176" s="83"/>
      <c r="H176" s="37">
        <f>E176*G176</f>
        <v>0</v>
      </c>
      <c r="I176" s="39">
        <f>G176*F176</f>
        <v>0</v>
      </c>
    </row>
    <row r="177" spans="1:9" s="1" customFormat="1" ht="34.5" customHeight="1">
      <c r="A177" s="19" t="s">
        <v>1081</v>
      </c>
      <c r="B177" s="66" t="s">
        <v>1082</v>
      </c>
      <c r="C177" s="68"/>
      <c r="D177" s="59">
        <v>2000</v>
      </c>
      <c r="E177" s="56">
        <v>175</v>
      </c>
      <c r="F177" s="48">
        <v>22.8</v>
      </c>
      <c r="G177" s="83"/>
      <c r="H177" s="37">
        <f>E177*G177</f>
        <v>0</v>
      </c>
      <c r="I177" s="39">
        <f>G177*F177</f>
        <v>0</v>
      </c>
    </row>
    <row r="178" spans="1:9" s="1" customFormat="1" ht="34.5" customHeight="1">
      <c r="A178" s="19" t="s">
        <v>678</v>
      </c>
      <c r="B178" s="66" t="s">
        <v>679</v>
      </c>
      <c r="C178" s="68"/>
      <c r="D178" s="59">
        <v>3000</v>
      </c>
      <c r="E178" s="56">
        <v>172</v>
      </c>
      <c r="F178" s="48">
        <v>22.400000000000002</v>
      </c>
      <c r="G178" s="83"/>
      <c r="H178" s="37">
        <f>E178*G178</f>
        <v>0</v>
      </c>
      <c r="I178" s="39">
        <f>G178*F178</f>
        <v>0</v>
      </c>
    </row>
    <row r="179" spans="1:9" s="1" customFormat="1" ht="34.5" customHeight="1">
      <c r="A179" s="19" t="s">
        <v>1061</v>
      </c>
      <c r="B179" s="66" t="s">
        <v>1062</v>
      </c>
      <c r="C179" s="68"/>
      <c r="D179" s="59">
        <v>10</v>
      </c>
      <c r="E179" s="56">
        <v>167</v>
      </c>
      <c r="F179" s="48">
        <v>21.700000000000003</v>
      </c>
      <c r="G179" s="83"/>
      <c r="H179" s="37">
        <f>E179*G179</f>
        <v>0</v>
      </c>
      <c r="I179" s="39">
        <f>G179*F179</f>
        <v>0</v>
      </c>
    </row>
    <row r="180" spans="1:9" s="1" customFormat="1" ht="34.5" customHeight="1">
      <c r="A180" s="19" t="s">
        <v>217</v>
      </c>
      <c r="B180" s="66" t="s">
        <v>218</v>
      </c>
      <c r="C180" s="68"/>
      <c r="D180" s="59">
        <v>200</v>
      </c>
      <c r="E180" s="56">
        <v>243</v>
      </c>
      <c r="F180" s="48">
        <v>31.6</v>
      </c>
      <c r="G180" s="83"/>
      <c r="H180" s="37">
        <f>E180*G180</f>
        <v>0</v>
      </c>
      <c r="I180" s="39">
        <f>G180*F180</f>
        <v>0</v>
      </c>
    </row>
    <row r="181" spans="1:9" s="1" customFormat="1" ht="34.5" customHeight="1">
      <c r="A181" s="19" t="s">
        <v>215</v>
      </c>
      <c r="B181" s="66" t="s">
        <v>216</v>
      </c>
      <c r="C181" s="68"/>
      <c r="D181" s="59">
        <v>100</v>
      </c>
      <c r="E181" s="56">
        <v>185</v>
      </c>
      <c r="F181" s="48">
        <v>24.1</v>
      </c>
      <c r="G181" s="83"/>
      <c r="H181" s="37">
        <f>E181*G181</f>
        <v>0</v>
      </c>
      <c r="I181" s="39">
        <f>G181*F181</f>
        <v>0</v>
      </c>
    </row>
    <row r="182" spans="1:9" s="1" customFormat="1" ht="34.5" customHeight="1">
      <c r="A182" s="19" t="s">
        <v>219</v>
      </c>
      <c r="B182" s="66" t="s">
        <v>220</v>
      </c>
      <c r="C182" s="68"/>
      <c r="D182" s="59">
        <v>10</v>
      </c>
      <c r="E182" s="56">
        <v>185</v>
      </c>
      <c r="F182" s="48">
        <v>24.1</v>
      </c>
      <c r="G182" s="83"/>
      <c r="H182" s="37">
        <f>E182*G182</f>
        <v>0</v>
      </c>
      <c r="I182" s="39">
        <f>G182*F182</f>
        <v>0</v>
      </c>
    </row>
    <row r="183" spans="1:9" s="1" customFormat="1" ht="34.5" customHeight="1">
      <c r="A183" s="19" t="s">
        <v>1104</v>
      </c>
      <c r="B183" s="66" t="s">
        <v>1105</v>
      </c>
      <c r="C183" s="68"/>
      <c r="D183" s="59">
        <v>1000</v>
      </c>
      <c r="E183" s="56">
        <v>440</v>
      </c>
      <c r="F183" s="48">
        <v>57.2</v>
      </c>
      <c r="G183" s="83"/>
      <c r="H183" s="37">
        <f>E183*G183</f>
        <v>0</v>
      </c>
      <c r="I183" s="39">
        <f>G183*F183</f>
        <v>0</v>
      </c>
    </row>
    <row r="184" spans="1:9" s="1" customFormat="1" ht="34.5" customHeight="1">
      <c r="A184" s="19" t="s">
        <v>553</v>
      </c>
      <c r="B184" s="66" t="s">
        <v>554</v>
      </c>
      <c r="C184" s="68"/>
      <c r="D184" s="59">
        <v>200</v>
      </c>
      <c r="E184" s="56">
        <v>290</v>
      </c>
      <c r="F184" s="48">
        <v>37.700000000000003</v>
      </c>
      <c r="G184" s="83"/>
      <c r="H184" s="37">
        <f>E184*G184</f>
        <v>0</v>
      </c>
      <c r="I184" s="39">
        <f>G184*F184</f>
        <v>0</v>
      </c>
    </row>
    <row r="185" spans="1:9" s="1" customFormat="1" ht="34.5" customHeight="1">
      <c r="A185" s="19" t="s">
        <v>677</v>
      </c>
      <c r="B185" s="66" t="s">
        <v>1157</v>
      </c>
      <c r="C185" s="68"/>
      <c r="D185" s="59">
        <v>1000</v>
      </c>
      <c r="E185" s="56">
        <v>187</v>
      </c>
      <c r="F185" s="48">
        <v>24.3</v>
      </c>
      <c r="G185" s="83"/>
      <c r="H185" s="37">
        <f>E185*G185</f>
        <v>0</v>
      </c>
      <c r="I185" s="39">
        <f>G185*F185</f>
        <v>0</v>
      </c>
    </row>
    <row r="186" spans="1:9" s="1" customFormat="1" ht="34.5" customHeight="1">
      <c r="A186" s="19" t="s">
        <v>221</v>
      </c>
      <c r="B186" s="66" t="s">
        <v>539</v>
      </c>
      <c r="C186" s="68"/>
      <c r="D186" s="59">
        <v>2000</v>
      </c>
      <c r="E186" s="56">
        <v>109</v>
      </c>
      <c r="F186" s="48">
        <v>14.2</v>
      </c>
      <c r="G186" s="83"/>
      <c r="H186" s="37">
        <f>E186*G186</f>
        <v>0</v>
      </c>
      <c r="I186" s="39">
        <f>G186*F186</f>
        <v>0</v>
      </c>
    </row>
    <row r="187" spans="1:9" s="1" customFormat="1" ht="34.5" customHeight="1">
      <c r="A187" s="19" t="s">
        <v>213</v>
      </c>
      <c r="B187" s="66" t="s">
        <v>214</v>
      </c>
      <c r="C187" s="68"/>
      <c r="D187" s="59">
        <v>300</v>
      </c>
      <c r="E187" s="56">
        <v>243</v>
      </c>
      <c r="F187" s="48">
        <v>31.6</v>
      </c>
      <c r="G187" s="83"/>
      <c r="H187" s="37">
        <f>E187*G187</f>
        <v>0</v>
      </c>
      <c r="I187" s="39">
        <f>G187*F187</f>
        <v>0</v>
      </c>
    </row>
    <row r="188" spans="1:9" s="1" customFormat="1" ht="34.5" customHeight="1">
      <c r="A188" s="19" t="s">
        <v>211</v>
      </c>
      <c r="B188" s="66" t="s">
        <v>212</v>
      </c>
      <c r="C188" s="68"/>
      <c r="D188" s="59">
        <v>1000</v>
      </c>
      <c r="E188" s="56">
        <v>232</v>
      </c>
      <c r="F188" s="48">
        <v>30.200000000000003</v>
      </c>
      <c r="G188" s="83"/>
      <c r="H188" s="37">
        <f>E188*G188</f>
        <v>0</v>
      </c>
      <c r="I188" s="39">
        <f>G188*F188</f>
        <v>0</v>
      </c>
    </row>
    <row r="189" spans="1:9" s="1" customFormat="1" ht="34.5" customHeight="1">
      <c r="A189" s="19" t="s">
        <v>222</v>
      </c>
      <c r="B189" s="66" t="s">
        <v>223</v>
      </c>
      <c r="C189" s="68"/>
      <c r="D189" s="59">
        <v>2000</v>
      </c>
      <c r="E189" s="56">
        <v>110</v>
      </c>
      <c r="F189" s="48">
        <v>14.299999999999999</v>
      </c>
      <c r="G189" s="83"/>
      <c r="H189" s="37">
        <f>E189*G189</f>
        <v>0</v>
      </c>
      <c r="I189" s="39">
        <f>G189*F189</f>
        <v>0</v>
      </c>
    </row>
    <row r="190" spans="1:9" s="1" customFormat="1" ht="34.5" customHeight="1">
      <c r="A190" s="19" t="s">
        <v>1083</v>
      </c>
      <c r="B190" s="66" t="s">
        <v>1084</v>
      </c>
      <c r="C190" s="68"/>
      <c r="D190" s="59">
        <v>1000</v>
      </c>
      <c r="E190" s="56">
        <v>146</v>
      </c>
      <c r="F190" s="48">
        <v>19</v>
      </c>
      <c r="G190" s="83"/>
      <c r="H190" s="37">
        <f>E190*G190</f>
        <v>0</v>
      </c>
      <c r="I190" s="39">
        <f>G190*F190</f>
        <v>0</v>
      </c>
    </row>
    <row r="191" spans="1:9" s="1" customFormat="1" ht="34.5" customHeight="1">
      <c r="A191" s="19" t="s">
        <v>587</v>
      </c>
      <c r="B191" s="66" t="s">
        <v>1158</v>
      </c>
      <c r="C191" s="68"/>
      <c r="D191" s="59">
        <v>1000</v>
      </c>
      <c r="E191" s="56">
        <v>218</v>
      </c>
      <c r="F191" s="48">
        <v>28.400000000000002</v>
      </c>
      <c r="G191" s="83"/>
      <c r="H191" s="37">
        <f>E191*G191</f>
        <v>0</v>
      </c>
      <c r="I191" s="39">
        <f>G191*F191</f>
        <v>0</v>
      </c>
    </row>
    <row r="192" spans="1:9" s="1" customFormat="1" ht="34.5" customHeight="1">
      <c r="A192" s="19" t="s">
        <v>1297</v>
      </c>
      <c r="B192" s="66" t="s">
        <v>1298</v>
      </c>
      <c r="C192" s="68"/>
      <c r="D192" s="59">
        <v>500</v>
      </c>
      <c r="E192" s="56">
        <v>257</v>
      </c>
      <c r="F192" s="48">
        <v>33.4</v>
      </c>
      <c r="G192" s="83"/>
      <c r="H192" s="37">
        <f>E192*G192</f>
        <v>0</v>
      </c>
      <c r="I192" s="39">
        <f>G192*F192</f>
        <v>0</v>
      </c>
    </row>
    <row r="193" spans="1:9" s="1" customFormat="1" ht="34.5" customHeight="1">
      <c r="A193" s="19" t="s">
        <v>646</v>
      </c>
      <c r="B193" s="66" t="s">
        <v>647</v>
      </c>
      <c r="C193" s="68"/>
      <c r="D193" s="59">
        <v>2000</v>
      </c>
      <c r="E193" s="56">
        <v>370</v>
      </c>
      <c r="F193" s="48">
        <v>48.1</v>
      </c>
      <c r="G193" s="83"/>
      <c r="H193" s="37">
        <f>E193*G193</f>
        <v>0</v>
      </c>
      <c r="I193" s="39">
        <f>G193*F193</f>
        <v>0</v>
      </c>
    </row>
    <row r="194" spans="1:9" s="1" customFormat="1" ht="34.5" customHeight="1">
      <c r="A194" s="19" t="s">
        <v>417</v>
      </c>
      <c r="B194" s="66" t="s">
        <v>418</v>
      </c>
      <c r="C194" s="68"/>
      <c r="D194" s="59">
        <v>1210</v>
      </c>
      <c r="E194" s="56">
        <v>215</v>
      </c>
      <c r="F194" s="48">
        <v>28</v>
      </c>
      <c r="G194" s="83"/>
      <c r="H194" s="37">
        <f>E194*G194</f>
        <v>0</v>
      </c>
      <c r="I194" s="39">
        <f>G194*F194</f>
        <v>0</v>
      </c>
    </row>
    <row r="195" spans="1:9" s="1" customFormat="1" ht="34.5" customHeight="1">
      <c r="A195" s="19" t="s">
        <v>772</v>
      </c>
      <c r="B195" s="66" t="s">
        <v>773</v>
      </c>
      <c r="C195" s="68"/>
      <c r="D195" s="59">
        <v>1200</v>
      </c>
      <c r="E195" s="56">
        <v>360</v>
      </c>
      <c r="F195" s="48">
        <v>46.800000000000004</v>
      </c>
      <c r="G195" s="83"/>
      <c r="H195" s="37">
        <f>E195*G195</f>
        <v>0</v>
      </c>
      <c r="I195" s="39">
        <f>G195*F195</f>
        <v>0</v>
      </c>
    </row>
    <row r="196" spans="1:9" s="1" customFormat="1" ht="34.5" customHeight="1">
      <c r="A196" s="19" t="s">
        <v>770</v>
      </c>
      <c r="B196" s="66" t="s">
        <v>771</v>
      </c>
      <c r="C196" s="68"/>
      <c r="D196" s="59">
        <v>1000</v>
      </c>
      <c r="E196" s="56">
        <v>275</v>
      </c>
      <c r="F196" s="48">
        <v>35.800000000000004</v>
      </c>
      <c r="G196" s="83"/>
      <c r="H196" s="37">
        <f>E196*G196</f>
        <v>0</v>
      </c>
      <c r="I196" s="39">
        <f>G196*F196</f>
        <v>0</v>
      </c>
    </row>
    <row r="197" spans="1:9" s="1" customFormat="1" ht="34.5" customHeight="1">
      <c r="A197" s="19" t="s">
        <v>768</v>
      </c>
      <c r="B197" s="66" t="s">
        <v>769</v>
      </c>
      <c r="C197" s="68"/>
      <c r="D197" s="59">
        <v>1000</v>
      </c>
      <c r="E197" s="56">
        <v>357</v>
      </c>
      <c r="F197" s="48">
        <v>46.4</v>
      </c>
      <c r="G197" s="83"/>
      <c r="H197" s="37">
        <f>E197*G197</f>
        <v>0</v>
      </c>
      <c r="I197" s="39">
        <f>G197*F197</f>
        <v>0</v>
      </c>
    </row>
    <row r="198" spans="1:9" s="1" customFormat="1" ht="34.5" customHeight="1">
      <c r="A198" s="19" t="s">
        <v>780</v>
      </c>
      <c r="B198" s="66" t="s">
        <v>781</v>
      </c>
      <c r="C198" s="68"/>
      <c r="D198" s="59">
        <v>1500</v>
      </c>
      <c r="E198" s="56">
        <v>150</v>
      </c>
      <c r="F198" s="48">
        <v>19.5</v>
      </c>
      <c r="G198" s="83"/>
      <c r="H198" s="37">
        <f>E198*G198</f>
        <v>0</v>
      </c>
      <c r="I198" s="39">
        <f>G198*F198</f>
        <v>0</v>
      </c>
    </row>
    <row r="199" spans="1:9" s="1" customFormat="1" ht="34.5" customHeight="1">
      <c r="A199" s="19" t="s">
        <v>782</v>
      </c>
      <c r="B199" s="66" t="s">
        <v>783</v>
      </c>
      <c r="C199" s="68"/>
      <c r="D199" s="59">
        <v>1500</v>
      </c>
      <c r="E199" s="56">
        <v>128</v>
      </c>
      <c r="F199" s="48">
        <v>16.700000000000003</v>
      </c>
      <c r="G199" s="83"/>
      <c r="H199" s="37">
        <f>E199*G199</f>
        <v>0</v>
      </c>
      <c r="I199" s="39">
        <f>G199*F199</f>
        <v>0</v>
      </c>
    </row>
    <row r="200" spans="1:9" s="1" customFormat="1" ht="34.5" customHeight="1">
      <c r="A200" s="19" t="s">
        <v>946</v>
      </c>
      <c r="B200" s="66" t="s">
        <v>947</v>
      </c>
      <c r="C200" s="68"/>
      <c r="D200" s="59">
        <v>3100</v>
      </c>
      <c r="E200" s="56">
        <v>148</v>
      </c>
      <c r="F200" s="48">
        <v>19.3</v>
      </c>
      <c r="G200" s="83"/>
      <c r="H200" s="37">
        <f>E200*G200</f>
        <v>0</v>
      </c>
      <c r="I200" s="39">
        <f>G200*F200</f>
        <v>0</v>
      </c>
    </row>
    <row r="201" spans="1:9" s="1" customFormat="1" ht="34.5" customHeight="1">
      <c r="A201" s="19" t="s">
        <v>600</v>
      </c>
      <c r="B201" s="66" t="s">
        <v>601</v>
      </c>
      <c r="C201" s="68"/>
      <c r="D201" s="59">
        <v>3000</v>
      </c>
      <c r="E201" s="56">
        <v>156</v>
      </c>
      <c r="F201" s="48">
        <v>20.3</v>
      </c>
      <c r="G201" s="83"/>
      <c r="H201" s="37">
        <f>E201*G201</f>
        <v>0</v>
      </c>
      <c r="I201" s="39">
        <f>G201*F201</f>
        <v>0</v>
      </c>
    </row>
    <row r="202" spans="1:9" s="1" customFormat="1" ht="34.5" customHeight="1">
      <c r="A202" s="19" t="s">
        <v>602</v>
      </c>
      <c r="B202" s="66" t="s">
        <v>919</v>
      </c>
      <c r="C202" s="68"/>
      <c r="D202" s="59">
        <v>1900</v>
      </c>
      <c r="E202" s="56">
        <v>148</v>
      </c>
      <c r="F202" s="48">
        <f>ROUNDUP(E202/7.7,1)</f>
        <v>19.3</v>
      </c>
      <c r="G202" s="83"/>
      <c r="H202" s="37">
        <f>E202*G202</f>
        <v>0</v>
      </c>
      <c r="I202" s="39">
        <f>G202*F202</f>
        <v>0</v>
      </c>
    </row>
    <row r="203" spans="1:9" s="1" customFormat="1" ht="34.5" customHeight="1">
      <c r="A203" s="19" t="s">
        <v>779</v>
      </c>
      <c r="B203" s="66" t="s">
        <v>1159</v>
      </c>
      <c r="C203" s="68"/>
      <c r="D203" s="59">
        <v>1300</v>
      </c>
      <c r="E203" s="56">
        <v>128</v>
      </c>
      <c r="F203" s="48">
        <v>16.700000000000003</v>
      </c>
      <c r="G203" s="83"/>
      <c r="H203" s="37">
        <f>E203*G203</f>
        <v>0</v>
      </c>
      <c r="I203" s="39">
        <f>G203*F203</f>
        <v>0</v>
      </c>
    </row>
    <row r="204" spans="1:9" s="1" customFormat="1" ht="34.5" customHeight="1">
      <c r="A204" s="19" t="s">
        <v>999</v>
      </c>
      <c r="B204" s="66" t="s">
        <v>1000</v>
      </c>
      <c r="C204" s="68"/>
      <c r="D204" s="59">
        <v>2000</v>
      </c>
      <c r="E204" s="56">
        <v>485</v>
      </c>
      <c r="F204" s="48">
        <f>ROUNDUP(E204/7.7,1)</f>
        <v>63</v>
      </c>
      <c r="G204" s="83"/>
      <c r="H204" s="37">
        <f>E204*G204</f>
        <v>0</v>
      </c>
      <c r="I204" s="39">
        <f>G204*F204</f>
        <v>0</v>
      </c>
    </row>
    <row r="205" spans="1:9" s="1" customFormat="1" ht="34.5" customHeight="1">
      <c r="A205" s="19" t="s">
        <v>622</v>
      </c>
      <c r="B205" s="66" t="s">
        <v>623</v>
      </c>
      <c r="C205" s="68"/>
      <c r="D205" s="59">
        <v>1000</v>
      </c>
      <c r="E205" s="56">
        <v>620</v>
      </c>
      <c r="F205" s="48">
        <v>80.599999999999994</v>
      </c>
      <c r="G205" s="83"/>
      <c r="H205" s="37">
        <f>E205*G205</f>
        <v>0</v>
      </c>
      <c r="I205" s="39">
        <f>G205*F205</f>
        <v>0</v>
      </c>
    </row>
    <row r="206" spans="1:9" s="1" customFormat="1" ht="34.5" customHeight="1">
      <c r="A206" s="19" t="s">
        <v>549</v>
      </c>
      <c r="B206" s="66" t="s">
        <v>550</v>
      </c>
      <c r="C206" s="68"/>
      <c r="D206" s="59">
        <v>1000</v>
      </c>
      <c r="E206" s="56">
        <v>269</v>
      </c>
      <c r="F206" s="48">
        <v>35</v>
      </c>
      <c r="G206" s="83"/>
      <c r="H206" s="37">
        <f>E206*G206</f>
        <v>0</v>
      </c>
      <c r="I206" s="39">
        <f>G206*F206</f>
        <v>0</v>
      </c>
    </row>
    <row r="207" spans="1:9" s="1" customFormat="1" ht="34.5" customHeight="1">
      <c r="A207" s="19" t="s">
        <v>796</v>
      </c>
      <c r="B207" s="66" t="s">
        <v>797</v>
      </c>
      <c r="C207" s="68"/>
      <c r="D207" s="59">
        <v>3000</v>
      </c>
      <c r="E207" s="56">
        <v>450</v>
      </c>
      <c r="F207" s="48">
        <v>58.5</v>
      </c>
      <c r="G207" s="83"/>
      <c r="H207" s="37">
        <f>E207*G207</f>
        <v>0</v>
      </c>
      <c r="I207" s="39">
        <f>G207*F207</f>
        <v>0</v>
      </c>
    </row>
    <row r="208" spans="1:9" s="1" customFormat="1" ht="34.5" customHeight="1">
      <c r="A208" s="19" t="s">
        <v>421</v>
      </c>
      <c r="B208" s="66" t="s">
        <v>422</v>
      </c>
      <c r="C208" s="68"/>
      <c r="D208" s="59">
        <v>1500</v>
      </c>
      <c r="E208" s="56">
        <v>223</v>
      </c>
      <c r="F208" s="48">
        <v>29</v>
      </c>
      <c r="G208" s="83"/>
      <c r="H208" s="37">
        <f>E208*G208</f>
        <v>0</v>
      </c>
      <c r="I208" s="39">
        <f>G208*F208</f>
        <v>0</v>
      </c>
    </row>
    <row r="209" spans="1:9" s="1" customFormat="1" ht="34.5" customHeight="1">
      <c r="A209" s="19" t="s">
        <v>1043</v>
      </c>
      <c r="B209" s="66" t="s">
        <v>1044</v>
      </c>
      <c r="C209" s="68"/>
      <c r="D209" s="59">
        <v>2000</v>
      </c>
      <c r="E209" s="56">
        <v>178</v>
      </c>
      <c r="F209" s="48">
        <v>23.200000000000003</v>
      </c>
      <c r="G209" s="83"/>
      <c r="H209" s="37">
        <f>E209*G209</f>
        <v>0</v>
      </c>
      <c r="I209" s="39">
        <f>G209*F209</f>
        <v>0</v>
      </c>
    </row>
    <row r="210" spans="1:9" s="1" customFormat="1" ht="34.5" customHeight="1">
      <c r="A210" s="19" t="s">
        <v>419</v>
      </c>
      <c r="B210" s="66" t="s">
        <v>420</v>
      </c>
      <c r="C210" s="68"/>
      <c r="D210" s="59">
        <v>1500</v>
      </c>
      <c r="E210" s="56">
        <v>206</v>
      </c>
      <c r="F210" s="48">
        <v>26.8</v>
      </c>
      <c r="G210" s="83"/>
      <c r="H210" s="37">
        <f>E210*G210</f>
        <v>0</v>
      </c>
      <c r="I210" s="39">
        <f>G210*F210</f>
        <v>0</v>
      </c>
    </row>
    <row r="211" spans="1:9" s="1" customFormat="1" ht="34.5" customHeight="1">
      <c r="A211" s="19" t="s">
        <v>624</v>
      </c>
      <c r="B211" s="66" t="s">
        <v>625</v>
      </c>
      <c r="C211" s="68"/>
      <c r="D211" s="59">
        <v>1000</v>
      </c>
      <c r="E211" s="56">
        <v>245</v>
      </c>
      <c r="F211" s="48">
        <v>31.900000000000002</v>
      </c>
      <c r="G211" s="83"/>
      <c r="H211" s="37">
        <f>E211*G211</f>
        <v>0</v>
      </c>
      <c r="I211" s="39">
        <f>G211*F211</f>
        <v>0</v>
      </c>
    </row>
    <row r="212" spans="1:9" s="1" customFormat="1" ht="34.5" customHeight="1">
      <c r="A212" s="19" t="s">
        <v>1161</v>
      </c>
      <c r="B212" s="66" t="s">
        <v>1162</v>
      </c>
      <c r="C212" s="68"/>
      <c r="D212" s="59">
        <v>200</v>
      </c>
      <c r="E212" s="56">
        <v>575</v>
      </c>
      <c r="F212" s="48">
        <v>74.699999999999989</v>
      </c>
      <c r="G212" s="83"/>
      <c r="H212" s="37">
        <f>E212*G212</f>
        <v>0</v>
      </c>
      <c r="I212" s="39">
        <f>G212*F212</f>
        <v>0</v>
      </c>
    </row>
    <row r="213" spans="1:9" s="1" customFormat="1" ht="34.5" customHeight="1">
      <c r="A213" s="19" t="s">
        <v>1163</v>
      </c>
      <c r="B213" s="66" t="s">
        <v>1164</v>
      </c>
      <c r="C213" s="68"/>
      <c r="D213" s="59">
        <v>300</v>
      </c>
      <c r="E213" s="56">
        <v>350</v>
      </c>
      <c r="F213" s="48">
        <v>45.5</v>
      </c>
      <c r="G213" s="83"/>
      <c r="H213" s="37">
        <f>E213*G213</f>
        <v>0</v>
      </c>
      <c r="I213" s="39">
        <f>G213*F213</f>
        <v>0</v>
      </c>
    </row>
    <row r="214" spans="1:9" s="1" customFormat="1" ht="34.5" customHeight="1">
      <c r="A214" s="19" t="s">
        <v>956</v>
      </c>
      <c r="B214" s="66" t="s">
        <v>957</v>
      </c>
      <c r="C214" s="68"/>
      <c r="D214" s="59">
        <v>1000</v>
      </c>
      <c r="E214" s="56">
        <v>400</v>
      </c>
      <c r="F214" s="48">
        <v>52</v>
      </c>
      <c r="G214" s="83"/>
      <c r="H214" s="37">
        <f>E214*G214</f>
        <v>0</v>
      </c>
      <c r="I214" s="39">
        <f>G214*F214</f>
        <v>0</v>
      </c>
    </row>
    <row r="215" spans="1:9" s="1" customFormat="1" ht="34.5" customHeight="1">
      <c r="A215" s="19" t="s">
        <v>703</v>
      </c>
      <c r="B215" s="66" t="s">
        <v>704</v>
      </c>
      <c r="C215" s="68"/>
      <c r="D215" s="59">
        <v>1000</v>
      </c>
      <c r="E215" s="56">
        <v>1293</v>
      </c>
      <c r="F215" s="48">
        <v>168</v>
      </c>
      <c r="G215" s="83"/>
      <c r="H215" s="37">
        <f>E215*G215</f>
        <v>0</v>
      </c>
      <c r="I215" s="39">
        <f>G215*F215</f>
        <v>0</v>
      </c>
    </row>
    <row r="216" spans="1:9" s="1" customFormat="1" ht="34.5" customHeight="1">
      <c r="A216" s="19" t="s">
        <v>854</v>
      </c>
      <c r="B216" s="66" t="s">
        <v>855</v>
      </c>
      <c r="C216" s="68"/>
      <c r="D216" s="59">
        <v>300</v>
      </c>
      <c r="E216" s="56">
        <v>850</v>
      </c>
      <c r="F216" s="48">
        <v>110.39999999999999</v>
      </c>
      <c r="G216" s="83"/>
      <c r="H216" s="37">
        <f>E216*G216</f>
        <v>0</v>
      </c>
      <c r="I216" s="39">
        <f>G216*F216</f>
        <v>0</v>
      </c>
    </row>
    <row r="217" spans="1:9" s="1" customFormat="1" ht="34.5" customHeight="1">
      <c r="A217" s="19" t="s">
        <v>958</v>
      </c>
      <c r="B217" s="66" t="s">
        <v>959</v>
      </c>
      <c r="C217" s="68"/>
      <c r="D217" s="59">
        <v>200</v>
      </c>
      <c r="E217" s="56">
        <v>815</v>
      </c>
      <c r="F217" s="48">
        <v>105.89999999999999</v>
      </c>
      <c r="G217" s="83"/>
      <c r="H217" s="37">
        <f>E217*G217</f>
        <v>0</v>
      </c>
      <c r="I217" s="39">
        <f>G217*F217</f>
        <v>0</v>
      </c>
    </row>
    <row r="218" spans="1:9" s="1" customFormat="1" ht="34.5" customHeight="1">
      <c r="A218" s="19" t="s">
        <v>555</v>
      </c>
      <c r="B218" s="66" t="s">
        <v>556</v>
      </c>
      <c r="C218" s="68"/>
      <c r="D218" s="59">
        <v>200</v>
      </c>
      <c r="E218" s="56">
        <v>1918</v>
      </c>
      <c r="F218" s="48">
        <v>249.1</v>
      </c>
      <c r="G218" s="83"/>
      <c r="H218" s="37">
        <f>E218*G218</f>
        <v>0</v>
      </c>
      <c r="I218" s="39">
        <f>G218*F218</f>
        <v>0</v>
      </c>
    </row>
    <row r="219" spans="1:9" s="1" customFormat="1" ht="34.5" customHeight="1">
      <c r="A219" s="19" t="s">
        <v>680</v>
      </c>
      <c r="B219" s="66" t="s">
        <v>681</v>
      </c>
      <c r="C219" s="68"/>
      <c r="D219" s="59">
        <v>500</v>
      </c>
      <c r="E219" s="56">
        <v>2968</v>
      </c>
      <c r="F219" s="48">
        <v>385.5</v>
      </c>
      <c r="G219" s="83"/>
      <c r="H219" s="37">
        <f>E219*G219</f>
        <v>0</v>
      </c>
      <c r="I219" s="39">
        <f>G219*F219</f>
        <v>0</v>
      </c>
    </row>
    <row r="220" spans="1:9" s="1" customFormat="1" ht="34.5" customHeight="1">
      <c r="A220" s="19" t="s">
        <v>798</v>
      </c>
      <c r="B220" s="66" t="s">
        <v>799</v>
      </c>
      <c r="C220" s="68"/>
      <c r="D220" s="59">
        <v>300</v>
      </c>
      <c r="E220" s="56">
        <v>1768</v>
      </c>
      <c r="F220" s="48">
        <f>ROUNDUP(E220/7.7,1)</f>
        <v>229.7</v>
      </c>
      <c r="G220" s="83"/>
      <c r="H220" s="37">
        <f>E220*G220</f>
        <v>0</v>
      </c>
      <c r="I220" s="39">
        <f>G220*F220</f>
        <v>0</v>
      </c>
    </row>
    <row r="221" spans="1:9" s="1" customFormat="1" ht="34.5" customHeight="1">
      <c r="A221" s="19" t="s">
        <v>800</v>
      </c>
      <c r="B221" s="66" t="s">
        <v>801</v>
      </c>
      <c r="C221" s="68"/>
      <c r="D221" s="59">
        <v>200</v>
      </c>
      <c r="E221" s="56">
        <v>2758</v>
      </c>
      <c r="F221" s="48">
        <v>358.20000000000005</v>
      </c>
      <c r="G221" s="83"/>
      <c r="H221" s="37">
        <f>E221*G221</f>
        <v>0</v>
      </c>
      <c r="I221" s="39">
        <f>G221*F221</f>
        <v>0</v>
      </c>
    </row>
    <row r="222" spans="1:9" s="1" customFormat="1" ht="34.5" customHeight="1">
      <c r="A222" s="19" t="s">
        <v>427</v>
      </c>
      <c r="B222" s="66" t="s">
        <v>428</v>
      </c>
      <c r="C222" s="68"/>
      <c r="D222" s="59">
        <v>480</v>
      </c>
      <c r="E222" s="56">
        <v>445</v>
      </c>
      <c r="F222" s="48">
        <v>57.800000000000004</v>
      </c>
      <c r="G222" s="83"/>
      <c r="H222" s="37">
        <f>E222*G222</f>
        <v>0</v>
      </c>
      <c r="I222" s="39">
        <f>G222*F222</f>
        <v>0</v>
      </c>
    </row>
    <row r="223" spans="1:9" s="1" customFormat="1" ht="34.5" customHeight="1">
      <c r="A223" s="19" t="s">
        <v>425</v>
      </c>
      <c r="B223" s="66" t="s">
        <v>426</v>
      </c>
      <c r="C223" s="68"/>
      <c r="D223" s="59">
        <v>500</v>
      </c>
      <c r="E223" s="56">
        <v>412</v>
      </c>
      <c r="F223" s="48">
        <v>53.6</v>
      </c>
      <c r="G223" s="83"/>
      <c r="H223" s="37">
        <f>E223*G223</f>
        <v>0</v>
      </c>
      <c r="I223" s="39">
        <f>G223*F223</f>
        <v>0</v>
      </c>
    </row>
    <row r="224" spans="1:9" s="1" customFormat="1" ht="34.5" customHeight="1">
      <c r="A224" s="19" t="s">
        <v>224</v>
      </c>
      <c r="B224" s="66" t="s">
        <v>225</v>
      </c>
      <c r="C224" s="68"/>
      <c r="D224" s="59">
        <v>2000</v>
      </c>
      <c r="E224" s="56">
        <v>139</v>
      </c>
      <c r="F224" s="48">
        <v>18.100000000000001</v>
      </c>
      <c r="G224" s="83"/>
      <c r="H224" s="37">
        <f>E224*G224</f>
        <v>0</v>
      </c>
      <c r="I224" s="39">
        <f>G224*F224</f>
        <v>0</v>
      </c>
    </row>
    <row r="225" spans="1:9" s="1" customFormat="1" ht="34.5" customHeight="1">
      <c r="A225" s="19" t="s">
        <v>226</v>
      </c>
      <c r="B225" s="66" t="s">
        <v>227</v>
      </c>
      <c r="C225" s="68"/>
      <c r="D225" s="59">
        <v>2000</v>
      </c>
      <c r="E225" s="56">
        <v>139</v>
      </c>
      <c r="F225" s="48">
        <v>18.100000000000001</v>
      </c>
      <c r="G225" s="83"/>
      <c r="H225" s="37">
        <f>E225*G225</f>
        <v>0</v>
      </c>
      <c r="I225" s="39">
        <f>G225*F225</f>
        <v>0</v>
      </c>
    </row>
    <row r="226" spans="1:9" s="1" customFormat="1" ht="34.5" customHeight="1">
      <c r="A226" s="19" t="s">
        <v>423</v>
      </c>
      <c r="B226" s="66" t="s">
        <v>424</v>
      </c>
      <c r="C226" s="68"/>
      <c r="D226" s="59">
        <v>1000</v>
      </c>
      <c r="E226" s="56">
        <v>298</v>
      </c>
      <c r="F226" s="48">
        <v>38.800000000000004</v>
      </c>
      <c r="G226" s="83"/>
      <c r="H226" s="37">
        <f>E226*G226</f>
        <v>0</v>
      </c>
      <c r="I226" s="39">
        <f>G226*F226</f>
        <v>0</v>
      </c>
    </row>
    <row r="227" spans="1:9" s="1" customFormat="1" ht="34.5" customHeight="1">
      <c r="A227" s="19" t="s">
        <v>1369</v>
      </c>
      <c r="B227" s="66" t="s">
        <v>1370</v>
      </c>
      <c r="C227" s="68"/>
      <c r="D227" s="59">
        <v>600</v>
      </c>
      <c r="E227" s="56">
        <v>280</v>
      </c>
      <c r="F227" s="48">
        <v>36.4</v>
      </c>
      <c r="G227" s="83"/>
      <c r="H227" s="37">
        <f>E227*G227</f>
        <v>0</v>
      </c>
      <c r="I227" s="39">
        <f>G227*F227</f>
        <v>0</v>
      </c>
    </row>
    <row r="228" spans="1:9" s="1" customFormat="1" ht="34.5" customHeight="1">
      <c r="A228" s="19" t="s">
        <v>429</v>
      </c>
      <c r="B228" s="66" t="s">
        <v>430</v>
      </c>
      <c r="C228" s="68"/>
      <c r="D228" s="59">
        <v>500</v>
      </c>
      <c r="E228" s="56">
        <v>550</v>
      </c>
      <c r="F228" s="48">
        <v>71.5</v>
      </c>
      <c r="G228" s="83"/>
      <c r="H228" s="37">
        <f>E228*G228</f>
        <v>0</v>
      </c>
      <c r="I228" s="39">
        <f>G228*F228</f>
        <v>0</v>
      </c>
    </row>
    <row r="229" spans="1:9" s="1" customFormat="1" ht="34.5" customHeight="1">
      <c r="A229" s="19" t="s">
        <v>992</v>
      </c>
      <c r="B229" s="66" t="s">
        <v>1254</v>
      </c>
      <c r="C229" s="68"/>
      <c r="D229" s="59">
        <v>2000</v>
      </c>
      <c r="E229" s="56">
        <v>295</v>
      </c>
      <c r="F229" s="48">
        <v>38.4</v>
      </c>
      <c r="G229" s="83"/>
      <c r="H229" s="37">
        <f>E229*G229</f>
        <v>0</v>
      </c>
      <c r="I229" s="39">
        <f>G229*F229</f>
        <v>0</v>
      </c>
    </row>
    <row r="230" spans="1:9" s="1" customFormat="1" ht="34.5" customHeight="1">
      <c r="A230" s="19" t="s">
        <v>626</v>
      </c>
      <c r="B230" s="66" t="s">
        <v>627</v>
      </c>
      <c r="C230" s="68"/>
      <c r="D230" s="59">
        <v>1800</v>
      </c>
      <c r="E230" s="56">
        <v>240</v>
      </c>
      <c r="F230" s="48">
        <v>31.200000000000003</v>
      </c>
      <c r="G230" s="83"/>
      <c r="H230" s="37">
        <f>E230*G230</f>
        <v>0</v>
      </c>
      <c r="I230" s="39">
        <f>G230*F230</f>
        <v>0</v>
      </c>
    </row>
    <row r="231" spans="1:9" s="1" customFormat="1" ht="34.5" customHeight="1">
      <c r="A231" s="19" t="s">
        <v>1333</v>
      </c>
      <c r="B231" s="66" t="s">
        <v>1334</v>
      </c>
      <c r="C231" s="68"/>
      <c r="D231" s="59">
        <v>1000</v>
      </c>
      <c r="E231" s="56">
        <v>170</v>
      </c>
      <c r="F231" s="48">
        <v>22.1</v>
      </c>
      <c r="G231" s="83"/>
      <c r="H231" s="37">
        <f>E231*G231</f>
        <v>0</v>
      </c>
      <c r="I231" s="39">
        <f>G231*F231</f>
        <v>0</v>
      </c>
    </row>
    <row r="232" spans="1:9" s="1" customFormat="1" ht="34.5" customHeight="1">
      <c r="A232" s="19" t="s">
        <v>612</v>
      </c>
      <c r="B232" s="66" t="s">
        <v>613</v>
      </c>
      <c r="C232" s="68"/>
      <c r="D232" s="59">
        <v>1000</v>
      </c>
      <c r="E232" s="56">
        <v>405</v>
      </c>
      <c r="F232" s="48">
        <v>52.6</v>
      </c>
      <c r="G232" s="83"/>
      <c r="H232" s="37">
        <f>E232*G232</f>
        <v>0</v>
      </c>
      <c r="I232" s="39">
        <f>G232*F232</f>
        <v>0</v>
      </c>
    </row>
    <row r="233" spans="1:9" s="1" customFormat="1" ht="34.5" customHeight="1">
      <c r="A233" s="19" t="s">
        <v>671</v>
      </c>
      <c r="B233" s="66" t="s">
        <v>672</v>
      </c>
      <c r="C233" s="68"/>
      <c r="D233" s="59">
        <v>3000</v>
      </c>
      <c r="E233" s="56">
        <v>290</v>
      </c>
      <c r="F233" s="48">
        <v>37.700000000000003</v>
      </c>
      <c r="G233" s="83"/>
      <c r="H233" s="37">
        <f>E233*G233</f>
        <v>0</v>
      </c>
      <c r="I233" s="39">
        <f>G233*F233</f>
        <v>0</v>
      </c>
    </row>
    <row r="234" spans="1:9" s="1" customFormat="1" ht="34.5" customHeight="1">
      <c r="A234" s="19" t="s">
        <v>1373</v>
      </c>
      <c r="B234" s="66" t="s">
        <v>1374</v>
      </c>
      <c r="C234" s="68"/>
      <c r="D234" s="59">
        <v>1500</v>
      </c>
      <c r="E234" s="56">
        <v>420</v>
      </c>
      <c r="F234" s="48">
        <v>54.6</v>
      </c>
      <c r="G234" s="83"/>
      <c r="H234" s="37">
        <f>E234*G234</f>
        <v>0</v>
      </c>
      <c r="I234" s="39">
        <f>G234*F234</f>
        <v>0</v>
      </c>
    </row>
    <row r="235" spans="1:9" s="1" customFormat="1" ht="34.5" customHeight="1">
      <c r="A235" s="19" t="s">
        <v>1371</v>
      </c>
      <c r="B235" s="66" t="s">
        <v>1372</v>
      </c>
      <c r="C235" s="68"/>
      <c r="D235" s="59">
        <v>2000</v>
      </c>
      <c r="E235" s="56">
        <v>435</v>
      </c>
      <c r="F235" s="48">
        <v>56.5</v>
      </c>
      <c r="G235" s="83"/>
      <c r="H235" s="37">
        <f>E235*G235</f>
        <v>0</v>
      </c>
      <c r="I235" s="39">
        <f>G235*F235</f>
        <v>0</v>
      </c>
    </row>
    <row r="236" spans="1:9" s="1" customFormat="1" ht="34.5" customHeight="1">
      <c r="A236" s="19" t="s">
        <v>1375</v>
      </c>
      <c r="B236" s="66" t="s">
        <v>1376</v>
      </c>
      <c r="C236" s="68"/>
      <c r="D236" s="59">
        <v>2000</v>
      </c>
      <c r="E236" s="56">
        <v>315</v>
      </c>
      <c r="F236" s="48">
        <v>41</v>
      </c>
      <c r="G236" s="83"/>
      <c r="H236" s="37">
        <f>E236*G236</f>
        <v>0</v>
      </c>
      <c r="I236" s="39">
        <f>G236*F236</f>
        <v>0</v>
      </c>
    </row>
    <row r="237" spans="1:9" s="1" customFormat="1" ht="34.5" customHeight="1">
      <c r="A237" s="19" t="s">
        <v>228</v>
      </c>
      <c r="B237" s="66" t="s">
        <v>1160</v>
      </c>
      <c r="C237" s="68"/>
      <c r="D237" s="59">
        <v>200</v>
      </c>
      <c r="E237" s="56">
        <v>115</v>
      </c>
      <c r="F237" s="48">
        <v>15</v>
      </c>
      <c r="G237" s="83"/>
      <c r="H237" s="37">
        <f>E237*G237</f>
        <v>0</v>
      </c>
      <c r="I237" s="39">
        <f>G237*F237</f>
        <v>0</v>
      </c>
    </row>
    <row r="238" spans="1:9" s="1" customFormat="1" ht="34.5" customHeight="1">
      <c r="A238" s="19" t="s">
        <v>167</v>
      </c>
      <c r="B238" s="66" t="s">
        <v>168</v>
      </c>
      <c r="C238" s="68"/>
      <c r="D238" s="59">
        <v>2000</v>
      </c>
      <c r="E238" s="56">
        <v>138</v>
      </c>
      <c r="F238" s="48">
        <v>18</v>
      </c>
      <c r="G238" s="83"/>
      <c r="H238" s="37">
        <f>E238*G238</f>
        <v>0</v>
      </c>
      <c r="I238" s="39">
        <f>G238*F238</f>
        <v>0</v>
      </c>
    </row>
    <row r="239" spans="1:9" s="1" customFormat="1" ht="34.5" customHeight="1">
      <c r="A239" s="19" t="s">
        <v>628</v>
      </c>
      <c r="B239" s="66" t="s">
        <v>629</v>
      </c>
      <c r="C239" s="68"/>
      <c r="D239" s="59">
        <v>100</v>
      </c>
      <c r="E239" s="56">
        <v>134</v>
      </c>
      <c r="F239" s="48">
        <v>17.5</v>
      </c>
      <c r="G239" s="83"/>
      <c r="H239" s="37">
        <f>E239*G239</f>
        <v>0</v>
      </c>
      <c r="I239" s="39">
        <f>G239*F239</f>
        <v>0</v>
      </c>
    </row>
    <row r="240" spans="1:9" s="1" customFormat="1" ht="34.5" customHeight="1">
      <c r="A240" s="19" t="s">
        <v>436</v>
      </c>
      <c r="B240" s="66" t="s">
        <v>522</v>
      </c>
      <c r="C240" s="68"/>
      <c r="D240" s="59">
        <v>2000</v>
      </c>
      <c r="E240" s="56">
        <v>269</v>
      </c>
      <c r="F240" s="48">
        <v>35</v>
      </c>
      <c r="G240" s="83"/>
      <c r="H240" s="37">
        <f>E240*G240</f>
        <v>0</v>
      </c>
      <c r="I240" s="39">
        <f>G240*F240</f>
        <v>0</v>
      </c>
    </row>
    <row r="241" spans="1:9" s="1" customFormat="1" ht="34.5" customHeight="1">
      <c r="A241" s="19" t="s">
        <v>435</v>
      </c>
      <c r="B241" s="66" t="s">
        <v>521</v>
      </c>
      <c r="C241" s="68"/>
      <c r="D241" s="59">
        <v>2000</v>
      </c>
      <c r="E241" s="56">
        <v>528</v>
      </c>
      <c r="F241" s="48">
        <v>68.599999999999994</v>
      </c>
      <c r="G241" s="83"/>
      <c r="H241" s="37">
        <f>E241*G241</f>
        <v>0</v>
      </c>
      <c r="I241" s="39">
        <f>G241*F241</f>
        <v>0</v>
      </c>
    </row>
    <row r="242" spans="1:9" s="1" customFormat="1" ht="34.5" customHeight="1">
      <c r="A242" s="19" t="s">
        <v>451</v>
      </c>
      <c r="B242" s="66" t="s">
        <v>531</v>
      </c>
      <c r="C242" s="68"/>
      <c r="D242" s="59">
        <v>500</v>
      </c>
      <c r="E242" s="56">
        <v>540</v>
      </c>
      <c r="F242" s="48">
        <v>70.199999999999989</v>
      </c>
      <c r="G242" s="83"/>
      <c r="H242" s="37">
        <f>E242*G242</f>
        <v>0</v>
      </c>
      <c r="I242" s="39">
        <f>G242*F242</f>
        <v>0</v>
      </c>
    </row>
    <row r="243" spans="1:9" s="1" customFormat="1" ht="34.5" customHeight="1">
      <c r="A243" s="19" t="s">
        <v>452</v>
      </c>
      <c r="B243" s="66" t="s">
        <v>532</v>
      </c>
      <c r="C243" s="68"/>
      <c r="D243" s="59">
        <v>800</v>
      </c>
      <c r="E243" s="56">
        <v>280</v>
      </c>
      <c r="F243" s="48">
        <v>36.4</v>
      </c>
      <c r="G243" s="83"/>
      <c r="H243" s="37">
        <f>E243*G243</f>
        <v>0</v>
      </c>
      <c r="I243" s="39">
        <f>G243*F243</f>
        <v>0</v>
      </c>
    </row>
    <row r="244" spans="1:9" s="1" customFormat="1" ht="34.5" customHeight="1">
      <c r="A244" s="19" t="s">
        <v>457</v>
      </c>
      <c r="B244" s="66" t="s">
        <v>537</v>
      </c>
      <c r="C244" s="68"/>
      <c r="D244" s="59">
        <v>3000</v>
      </c>
      <c r="E244" s="56">
        <v>540</v>
      </c>
      <c r="F244" s="48">
        <v>70.199999999999989</v>
      </c>
      <c r="G244" s="83"/>
      <c r="H244" s="37">
        <f>E244*G244</f>
        <v>0</v>
      </c>
      <c r="I244" s="39">
        <f>G244*F244</f>
        <v>0</v>
      </c>
    </row>
    <row r="245" spans="1:9" s="1" customFormat="1" ht="34.5" customHeight="1">
      <c r="A245" s="19" t="s">
        <v>458</v>
      </c>
      <c r="B245" s="66" t="s">
        <v>538</v>
      </c>
      <c r="C245" s="68"/>
      <c r="D245" s="59">
        <v>3000</v>
      </c>
      <c r="E245" s="56">
        <v>279</v>
      </c>
      <c r="F245" s="48">
        <v>36.300000000000004</v>
      </c>
      <c r="G245" s="83"/>
      <c r="H245" s="37">
        <f>E245*G245</f>
        <v>0</v>
      </c>
      <c r="I245" s="39">
        <f>G245*F245</f>
        <v>0</v>
      </c>
    </row>
    <row r="246" spans="1:9" s="1" customFormat="1" ht="34.5" customHeight="1">
      <c r="A246" s="19" t="s">
        <v>455</v>
      </c>
      <c r="B246" s="66" t="s">
        <v>535</v>
      </c>
      <c r="C246" s="68"/>
      <c r="D246" s="59">
        <v>500</v>
      </c>
      <c r="E246" s="56">
        <v>530</v>
      </c>
      <c r="F246" s="48">
        <v>68.899999999999991</v>
      </c>
      <c r="G246" s="83"/>
      <c r="H246" s="37">
        <f>E246*G246</f>
        <v>0</v>
      </c>
      <c r="I246" s="39">
        <f>G246*F246</f>
        <v>0</v>
      </c>
    </row>
    <row r="247" spans="1:9" s="1" customFormat="1" ht="34.5" customHeight="1">
      <c r="A247" s="19" t="s">
        <v>456</v>
      </c>
      <c r="B247" s="66" t="s">
        <v>536</v>
      </c>
      <c r="C247" s="68"/>
      <c r="D247" s="59">
        <v>500</v>
      </c>
      <c r="E247" s="56">
        <v>279</v>
      </c>
      <c r="F247" s="48">
        <v>36.300000000000004</v>
      </c>
      <c r="G247" s="83"/>
      <c r="H247" s="37">
        <f>E247*G247</f>
        <v>0</v>
      </c>
      <c r="I247" s="39">
        <f>G247*F247</f>
        <v>0</v>
      </c>
    </row>
    <row r="248" spans="1:9" s="1" customFormat="1" ht="34.5" customHeight="1">
      <c r="A248" s="19" t="s">
        <v>446</v>
      </c>
      <c r="B248" s="66" t="s">
        <v>528</v>
      </c>
      <c r="C248" s="68"/>
      <c r="D248" s="59">
        <v>500</v>
      </c>
      <c r="E248" s="56">
        <v>280</v>
      </c>
      <c r="F248" s="48">
        <v>36.4</v>
      </c>
      <c r="G248" s="83"/>
      <c r="H248" s="37">
        <f>E248*G248</f>
        <v>0</v>
      </c>
      <c r="I248" s="39">
        <f>G248*F248</f>
        <v>0</v>
      </c>
    </row>
    <row r="249" spans="1:9" s="1" customFormat="1" ht="34.5" customHeight="1">
      <c r="A249" s="19" t="s">
        <v>445</v>
      </c>
      <c r="B249" s="66" t="s">
        <v>527</v>
      </c>
      <c r="C249" s="68"/>
      <c r="D249" s="59">
        <v>500</v>
      </c>
      <c r="E249" s="56">
        <v>530</v>
      </c>
      <c r="F249" s="48">
        <v>68.899999999999991</v>
      </c>
      <c r="G249" s="83"/>
      <c r="H249" s="37">
        <f>E249*G249</f>
        <v>0</v>
      </c>
      <c r="I249" s="39">
        <f>G249*F249</f>
        <v>0</v>
      </c>
    </row>
    <row r="250" spans="1:9" s="1" customFormat="1" ht="34.5" customHeight="1">
      <c r="A250" s="19" t="s">
        <v>229</v>
      </c>
      <c r="B250" s="66" t="s">
        <v>230</v>
      </c>
      <c r="C250" s="68"/>
      <c r="D250" s="59">
        <v>30</v>
      </c>
      <c r="E250" s="56">
        <v>3328</v>
      </c>
      <c r="F250" s="48">
        <v>432.3</v>
      </c>
      <c r="G250" s="83"/>
      <c r="H250" s="37">
        <f>E250*G250</f>
        <v>0</v>
      </c>
      <c r="I250" s="39">
        <f>G250*F250</f>
        <v>0</v>
      </c>
    </row>
    <row r="251" spans="1:9" s="1" customFormat="1" ht="34.5" customHeight="1">
      <c r="A251" s="19" t="s">
        <v>487</v>
      </c>
      <c r="B251" s="66" t="s">
        <v>488</v>
      </c>
      <c r="C251" s="68"/>
      <c r="D251" s="59">
        <v>300</v>
      </c>
      <c r="E251" s="56">
        <v>280</v>
      </c>
      <c r="F251" s="48">
        <v>36.4</v>
      </c>
      <c r="G251" s="83"/>
      <c r="H251" s="37">
        <f>E251*G251</f>
        <v>0</v>
      </c>
      <c r="I251" s="39">
        <f>G251*F251</f>
        <v>0</v>
      </c>
    </row>
    <row r="252" spans="1:9" s="1" customFormat="1" ht="34.5" customHeight="1">
      <c r="A252" s="19" t="s">
        <v>447</v>
      </c>
      <c r="B252" s="66" t="s">
        <v>448</v>
      </c>
      <c r="C252" s="68"/>
      <c r="D252" s="59">
        <v>500</v>
      </c>
      <c r="E252" s="56">
        <v>280</v>
      </c>
      <c r="F252" s="48">
        <v>36.4</v>
      </c>
      <c r="G252" s="83"/>
      <c r="H252" s="37">
        <f>E252*G252</f>
        <v>0</v>
      </c>
      <c r="I252" s="39">
        <f>G252*F252</f>
        <v>0</v>
      </c>
    </row>
    <row r="253" spans="1:9" s="1" customFormat="1" ht="34.5" customHeight="1">
      <c r="A253" s="19" t="s">
        <v>432</v>
      </c>
      <c r="B253" s="66" t="s">
        <v>433</v>
      </c>
      <c r="C253" s="68"/>
      <c r="D253" s="59">
        <v>1000</v>
      </c>
      <c r="E253" s="56">
        <v>540</v>
      </c>
      <c r="F253" s="48">
        <v>70.199999999999989</v>
      </c>
      <c r="G253" s="83"/>
      <c r="H253" s="37">
        <f>E253*G253</f>
        <v>0</v>
      </c>
      <c r="I253" s="39">
        <f>G253*F253</f>
        <v>0</v>
      </c>
    </row>
    <row r="254" spans="1:9" s="1" customFormat="1" ht="34.5" customHeight="1">
      <c r="A254" s="19" t="s">
        <v>673</v>
      </c>
      <c r="B254" s="66" t="s">
        <v>674</v>
      </c>
      <c r="C254" s="68"/>
      <c r="D254" s="59">
        <v>500</v>
      </c>
      <c r="E254" s="56">
        <v>528</v>
      </c>
      <c r="F254" s="48">
        <v>68.599999999999994</v>
      </c>
      <c r="G254" s="83"/>
      <c r="H254" s="37">
        <f>E254*G254</f>
        <v>0</v>
      </c>
      <c r="I254" s="39">
        <f>G254*F254</f>
        <v>0</v>
      </c>
    </row>
    <row r="255" spans="1:9" s="1" customFormat="1" ht="34.5" customHeight="1">
      <c r="A255" s="19" t="s">
        <v>437</v>
      </c>
      <c r="B255" s="66" t="s">
        <v>438</v>
      </c>
      <c r="C255" s="68"/>
      <c r="D255" s="59">
        <v>1000</v>
      </c>
      <c r="E255" s="56">
        <v>278</v>
      </c>
      <c r="F255" s="48">
        <v>36.200000000000003</v>
      </c>
      <c r="G255" s="83"/>
      <c r="H255" s="37">
        <f>E255*G255</f>
        <v>0</v>
      </c>
      <c r="I255" s="39">
        <f>G255*F255</f>
        <v>0</v>
      </c>
    </row>
    <row r="256" spans="1:9" s="1" customFormat="1" ht="34.5" customHeight="1">
      <c r="A256" s="19" t="s">
        <v>489</v>
      </c>
      <c r="B256" s="66" t="s">
        <v>490</v>
      </c>
      <c r="C256" s="68"/>
      <c r="D256" s="59">
        <v>500</v>
      </c>
      <c r="E256" s="56">
        <v>280</v>
      </c>
      <c r="F256" s="48">
        <v>36.4</v>
      </c>
      <c r="G256" s="83"/>
      <c r="H256" s="37">
        <f>E256*G256</f>
        <v>0</v>
      </c>
      <c r="I256" s="39">
        <f>G256*F256</f>
        <v>0</v>
      </c>
    </row>
    <row r="257" spans="1:9" s="1" customFormat="1" ht="34.5" customHeight="1">
      <c r="A257" s="19" t="s">
        <v>614</v>
      </c>
      <c r="B257" s="66" t="s">
        <v>615</v>
      </c>
      <c r="C257" s="68"/>
      <c r="D257" s="59">
        <v>500</v>
      </c>
      <c r="E257" s="56">
        <v>340</v>
      </c>
      <c r="F257" s="48">
        <v>44.2</v>
      </c>
      <c r="G257" s="83"/>
      <c r="H257" s="37">
        <f>E257*G257</f>
        <v>0</v>
      </c>
      <c r="I257" s="39">
        <f>G257*F257</f>
        <v>0</v>
      </c>
    </row>
    <row r="258" spans="1:9" s="1" customFormat="1" ht="34.5" customHeight="1">
      <c r="A258" s="19" t="s">
        <v>434</v>
      </c>
      <c r="B258" s="66" t="s">
        <v>520</v>
      </c>
      <c r="C258" s="68"/>
      <c r="D258" s="59">
        <v>500</v>
      </c>
      <c r="E258" s="56">
        <v>279</v>
      </c>
      <c r="F258" s="48">
        <v>36.300000000000004</v>
      </c>
      <c r="G258" s="83"/>
      <c r="H258" s="37">
        <f>E258*G258</f>
        <v>0</v>
      </c>
      <c r="I258" s="39">
        <f>G258*F258</f>
        <v>0</v>
      </c>
    </row>
    <row r="259" spans="1:9" s="1" customFormat="1" ht="34.5" customHeight="1">
      <c r="A259" s="19" t="s">
        <v>453</v>
      </c>
      <c r="B259" s="66" t="s">
        <v>533</v>
      </c>
      <c r="C259" s="68"/>
      <c r="D259" s="59">
        <v>1000</v>
      </c>
      <c r="E259" s="56">
        <v>535</v>
      </c>
      <c r="F259" s="48">
        <v>69.5</v>
      </c>
      <c r="G259" s="83"/>
      <c r="H259" s="37">
        <f>E259*G259</f>
        <v>0</v>
      </c>
      <c r="I259" s="39">
        <f>G259*F259</f>
        <v>0</v>
      </c>
    </row>
    <row r="260" spans="1:9" s="1" customFormat="1" ht="34.5" customHeight="1">
      <c r="A260" s="19" t="s">
        <v>454</v>
      </c>
      <c r="B260" s="66" t="s">
        <v>534</v>
      </c>
      <c r="C260" s="68"/>
      <c r="D260" s="59">
        <v>1000</v>
      </c>
      <c r="E260" s="56">
        <v>279</v>
      </c>
      <c r="F260" s="48">
        <v>36.300000000000004</v>
      </c>
      <c r="G260" s="83"/>
      <c r="H260" s="37">
        <f>E260*G260</f>
        <v>0</v>
      </c>
      <c r="I260" s="39">
        <f>G260*F260</f>
        <v>0</v>
      </c>
    </row>
    <row r="261" spans="1:9" s="1" customFormat="1" ht="34.5" customHeight="1">
      <c r="A261" s="19" t="s">
        <v>486</v>
      </c>
      <c r="B261" s="66" t="s">
        <v>518</v>
      </c>
      <c r="C261" s="68"/>
      <c r="D261" s="59">
        <v>500</v>
      </c>
      <c r="E261" s="56">
        <v>540</v>
      </c>
      <c r="F261" s="48">
        <v>70.199999999999989</v>
      </c>
      <c r="G261" s="83"/>
      <c r="H261" s="37">
        <f>E261*G261</f>
        <v>0</v>
      </c>
      <c r="I261" s="39">
        <f>G261*F261</f>
        <v>0</v>
      </c>
    </row>
    <row r="262" spans="1:9" s="1" customFormat="1" ht="34.5" customHeight="1">
      <c r="A262" s="19" t="s">
        <v>431</v>
      </c>
      <c r="B262" s="66" t="s">
        <v>519</v>
      </c>
      <c r="C262" s="68"/>
      <c r="D262" s="59">
        <v>500</v>
      </c>
      <c r="E262" s="56">
        <v>280</v>
      </c>
      <c r="F262" s="48">
        <v>36.4</v>
      </c>
      <c r="G262" s="83"/>
      <c r="H262" s="37">
        <f>E262*G262</f>
        <v>0</v>
      </c>
      <c r="I262" s="39">
        <f>G262*F262</f>
        <v>0</v>
      </c>
    </row>
    <row r="263" spans="1:9" s="1" customFormat="1" ht="34.5" customHeight="1">
      <c r="A263" s="19" t="s">
        <v>444</v>
      </c>
      <c r="B263" s="66" t="s">
        <v>526</v>
      </c>
      <c r="C263" s="68"/>
      <c r="D263" s="59">
        <v>1000</v>
      </c>
      <c r="E263" s="56">
        <v>278</v>
      </c>
      <c r="F263" s="48">
        <v>36.200000000000003</v>
      </c>
      <c r="G263" s="83"/>
      <c r="H263" s="37">
        <f>E263*G263</f>
        <v>0</v>
      </c>
      <c r="I263" s="39">
        <f>G263*F263</f>
        <v>0</v>
      </c>
    </row>
    <row r="264" spans="1:9" s="1" customFormat="1" ht="34.5" customHeight="1">
      <c r="A264" s="19" t="s">
        <v>442</v>
      </c>
      <c r="B264" s="66" t="s">
        <v>443</v>
      </c>
      <c r="C264" s="68"/>
      <c r="D264" s="59">
        <v>200</v>
      </c>
      <c r="E264" s="56">
        <v>525</v>
      </c>
      <c r="F264" s="48">
        <v>68.199999999999989</v>
      </c>
      <c r="G264" s="83"/>
      <c r="H264" s="37">
        <f>E264*G264</f>
        <v>0</v>
      </c>
      <c r="I264" s="39">
        <f>G264*F264</f>
        <v>0</v>
      </c>
    </row>
    <row r="265" spans="1:9" s="1" customFormat="1" ht="34.5" customHeight="1">
      <c r="A265" s="19" t="s">
        <v>439</v>
      </c>
      <c r="B265" s="66" t="s">
        <v>523</v>
      </c>
      <c r="C265" s="68"/>
      <c r="D265" s="59">
        <v>500</v>
      </c>
      <c r="E265" s="56">
        <v>280</v>
      </c>
      <c r="F265" s="48">
        <v>36.4</v>
      </c>
      <c r="G265" s="83"/>
      <c r="H265" s="37">
        <f>E265*G265</f>
        <v>0</v>
      </c>
      <c r="I265" s="39">
        <f>G265*F265</f>
        <v>0</v>
      </c>
    </row>
    <row r="266" spans="1:9" s="1" customFormat="1" ht="34.5" customHeight="1">
      <c r="A266" s="19" t="s">
        <v>440</v>
      </c>
      <c r="B266" s="66" t="s">
        <v>524</v>
      </c>
      <c r="C266" s="68"/>
      <c r="D266" s="59">
        <v>2000</v>
      </c>
      <c r="E266" s="56">
        <v>537</v>
      </c>
      <c r="F266" s="48">
        <v>69.8</v>
      </c>
      <c r="G266" s="83"/>
      <c r="H266" s="37">
        <f>E266*G266</f>
        <v>0</v>
      </c>
      <c r="I266" s="39">
        <f>G266*F266</f>
        <v>0</v>
      </c>
    </row>
    <row r="267" spans="1:9" s="1" customFormat="1" ht="34.5" customHeight="1">
      <c r="A267" s="19" t="s">
        <v>441</v>
      </c>
      <c r="B267" s="66" t="s">
        <v>525</v>
      </c>
      <c r="C267" s="68"/>
      <c r="D267" s="59">
        <v>2000</v>
      </c>
      <c r="E267" s="56">
        <v>280</v>
      </c>
      <c r="F267" s="48">
        <v>36.4</v>
      </c>
      <c r="G267" s="83"/>
      <c r="H267" s="37">
        <f>E267*G267</f>
        <v>0</v>
      </c>
      <c r="I267" s="39">
        <f>G267*F267</f>
        <v>0</v>
      </c>
    </row>
    <row r="268" spans="1:9" s="1" customFormat="1" ht="34.5" customHeight="1">
      <c r="A268" s="19" t="s">
        <v>450</v>
      </c>
      <c r="B268" s="66" t="s">
        <v>530</v>
      </c>
      <c r="C268" s="68"/>
      <c r="D268" s="59">
        <v>3000</v>
      </c>
      <c r="E268" s="56">
        <v>280</v>
      </c>
      <c r="F268" s="48">
        <v>36.4</v>
      </c>
      <c r="G268" s="83"/>
      <c r="H268" s="37">
        <f>E268*G268</f>
        <v>0</v>
      </c>
      <c r="I268" s="39">
        <f>G268*F268</f>
        <v>0</v>
      </c>
    </row>
    <row r="269" spans="1:9" s="1" customFormat="1" ht="34.5" customHeight="1">
      <c r="A269" s="19" t="s">
        <v>449</v>
      </c>
      <c r="B269" s="66" t="s">
        <v>529</v>
      </c>
      <c r="C269" s="68"/>
      <c r="D269" s="59">
        <v>2000</v>
      </c>
      <c r="E269" s="56">
        <v>540</v>
      </c>
      <c r="F269" s="48">
        <v>70.199999999999989</v>
      </c>
      <c r="G269" s="83"/>
      <c r="H269" s="37">
        <f>E269*G269</f>
        <v>0</v>
      </c>
      <c r="I269" s="39">
        <f>G269*F269</f>
        <v>0</v>
      </c>
    </row>
    <row r="270" spans="1:9" s="1" customFormat="1" ht="34.5" customHeight="1">
      <c r="A270" s="19" t="s">
        <v>461</v>
      </c>
      <c r="B270" s="66" t="s">
        <v>462</v>
      </c>
      <c r="C270" s="68"/>
      <c r="D270" s="59">
        <v>20</v>
      </c>
      <c r="E270" s="56">
        <v>215</v>
      </c>
      <c r="F270" s="48">
        <v>28</v>
      </c>
      <c r="G270" s="83"/>
      <c r="H270" s="37">
        <f>E270*G270</f>
        <v>0</v>
      </c>
      <c r="I270" s="39">
        <f>G270*F270</f>
        <v>0</v>
      </c>
    </row>
    <row r="271" spans="1:9" s="1" customFormat="1" ht="34.5" customHeight="1">
      <c r="A271" s="19" t="s">
        <v>648</v>
      </c>
      <c r="B271" s="66" t="s">
        <v>649</v>
      </c>
      <c r="C271" s="68"/>
      <c r="D271" s="59">
        <v>5</v>
      </c>
      <c r="E271" s="56">
        <v>280</v>
      </c>
      <c r="F271" s="48">
        <v>36.4</v>
      </c>
      <c r="G271" s="83"/>
      <c r="H271" s="37">
        <f>E271*G271</f>
        <v>0</v>
      </c>
      <c r="I271" s="39">
        <f>G271*F271</f>
        <v>0</v>
      </c>
    </row>
    <row r="272" spans="1:9" s="1" customFormat="1" ht="34.5" customHeight="1">
      <c r="A272" s="19" t="s">
        <v>891</v>
      </c>
      <c r="B272" s="66" t="s">
        <v>892</v>
      </c>
      <c r="C272" s="68"/>
      <c r="D272" s="59">
        <v>15</v>
      </c>
      <c r="E272" s="56">
        <v>320</v>
      </c>
      <c r="F272" s="48">
        <v>41.6</v>
      </c>
      <c r="G272" s="83"/>
      <c r="H272" s="37">
        <f>E272*G272</f>
        <v>0</v>
      </c>
      <c r="I272" s="39">
        <f>G272*F272</f>
        <v>0</v>
      </c>
    </row>
    <row r="273" spans="1:9" s="1" customFormat="1" ht="34.5" customHeight="1">
      <c r="A273" s="19" t="s">
        <v>459</v>
      </c>
      <c r="B273" s="66" t="s">
        <v>460</v>
      </c>
      <c r="C273" s="68"/>
      <c r="D273" s="59">
        <v>20</v>
      </c>
      <c r="E273" s="56">
        <v>215</v>
      </c>
      <c r="F273" s="48">
        <v>28</v>
      </c>
      <c r="G273" s="83"/>
      <c r="H273" s="37">
        <f>E273*G273</f>
        <v>0</v>
      </c>
      <c r="I273" s="39">
        <f>G273*F273</f>
        <v>0</v>
      </c>
    </row>
    <row r="274" spans="1:9" s="1" customFormat="1" ht="34.5" customHeight="1">
      <c r="A274" s="19" t="s">
        <v>882</v>
      </c>
      <c r="B274" s="66" t="s">
        <v>1258</v>
      </c>
      <c r="C274" s="68"/>
      <c r="D274" s="59">
        <v>31</v>
      </c>
      <c r="E274" s="56">
        <v>125</v>
      </c>
      <c r="F274" s="48">
        <v>16.3</v>
      </c>
      <c r="G274" s="83"/>
      <c r="H274" s="37">
        <f>E274*G274</f>
        <v>0</v>
      </c>
      <c r="I274" s="39">
        <f>G274*F274</f>
        <v>0</v>
      </c>
    </row>
    <row r="275" spans="1:9" s="1" customFormat="1" ht="34.5" customHeight="1">
      <c r="A275" s="19" t="s">
        <v>880</v>
      </c>
      <c r="B275" s="66" t="s">
        <v>1256</v>
      </c>
      <c r="C275" s="68"/>
      <c r="D275" s="59">
        <v>30</v>
      </c>
      <c r="E275" s="56">
        <v>125</v>
      </c>
      <c r="F275" s="48">
        <v>16.3</v>
      </c>
      <c r="G275" s="83"/>
      <c r="H275" s="37">
        <f>E275*G275</f>
        <v>0</v>
      </c>
      <c r="I275" s="39">
        <f>G275*F275</f>
        <v>0</v>
      </c>
    </row>
    <row r="276" spans="1:9" s="1" customFormat="1" ht="34.5" customHeight="1">
      <c r="A276" s="19" t="s">
        <v>881</v>
      </c>
      <c r="B276" s="66" t="s">
        <v>1257</v>
      </c>
      <c r="C276" s="68"/>
      <c r="D276" s="59">
        <v>31</v>
      </c>
      <c r="E276" s="56">
        <v>125</v>
      </c>
      <c r="F276" s="48">
        <v>16.3</v>
      </c>
      <c r="G276" s="83"/>
      <c r="H276" s="37">
        <f>E276*G276</f>
        <v>0</v>
      </c>
      <c r="I276" s="39">
        <f>G276*F276</f>
        <v>0</v>
      </c>
    </row>
    <row r="277" spans="1:9" s="1" customFormat="1" ht="34.5" customHeight="1">
      <c r="A277" s="19" t="s">
        <v>879</v>
      </c>
      <c r="B277" s="66" t="s">
        <v>1255</v>
      </c>
      <c r="C277" s="68"/>
      <c r="D277" s="59">
        <v>30</v>
      </c>
      <c r="E277" s="56">
        <v>125</v>
      </c>
      <c r="F277" s="48">
        <v>16.3</v>
      </c>
      <c r="G277" s="83"/>
      <c r="H277" s="37">
        <f>E277*G277</f>
        <v>0</v>
      </c>
      <c r="I277" s="39">
        <f>G277*F277</f>
        <v>0</v>
      </c>
    </row>
    <row r="278" spans="1:9" s="1" customFormat="1" ht="34.5" customHeight="1">
      <c r="A278" s="19" t="s">
        <v>715</v>
      </c>
      <c r="B278" s="66" t="s">
        <v>716</v>
      </c>
      <c r="C278" s="68"/>
      <c r="D278" s="59">
        <v>500</v>
      </c>
      <c r="E278" s="56">
        <v>182</v>
      </c>
      <c r="F278" s="48">
        <v>23.700000000000003</v>
      </c>
      <c r="G278" s="83"/>
      <c r="H278" s="37">
        <f>E278*G278</f>
        <v>0</v>
      </c>
      <c r="I278" s="39">
        <f>G278*F278</f>
        <v>0</v>
      </c>
    </row>
    <row r="279" spans="1:9" s="1" customFormat="1" ht="34.5" customHeight="1">
      <c r="A279" s="19" t="s">
        <v>733</v>
      </c>
      <c r="B279" s="66" t="s">
        <v>734</v>
      </c>
      <c r="C279" s="68"/>
      <c r="D279" s="59">
        <v>500</v>
      </c>
      <c r="E279" s="56">
        <v>207</v>
      </c>
      <c r="F279" s="48">
        <v>26.900000000000002</v>
      </c>
      <c r="G279" s="83"/>
      <c r="H279" s="37">
        <f>E279*G279</f>
        <v>0</v>
      </c>
      <c r="I279" s="39">
        <f>G279*F279</f>
        <v>0</v>
      </c>
    </row>
    <row r="280" spans="1:9" s="1" customFormat="1" ht="34.5" customHeight="1">
      <c r="A280" s="19" t="s">
        <v>709</v>
      </c>
      <c r="B280" s="66" t="s">
        <v>710</v>
      </c>
      <c r="C280" s="68"/>
      <c r="D280" s="59">
        <v>500</v>
      </c>
      <c r="E280" s="56">
        <v>160</v>
      </c>
      <c r="F280" s="48">
        <v>20.8</v>
      </c>
      <c r="G280" s="83"/>
      <c r="H280" s="37">
        <f>E280*G280</f>
        <v>0</v>
      </c>
      <c r="I280" s="39">
        <f>G280*F280</f>
        <v>0</v>
      </c>
    </row>
    <row r="281" spans="1:9" s="1" customFormat="1" ht="34.5" customHeight="1">
      <c r="A281" s="19" t="s">
        <v>707</v>
      </c>
      <c r="B281" s="66" t="s">
        <v>708</v>
      </c>
      <c r="C281" s="68"/>
      <c r="D281" s="59">
        <v>500</v>
      </c>
      <c r="E281" s="56">
        <v>112</v>
      </c>
      <c r="F281" s="48">
        <v>14.6</v>
      </c>
      <c r="G281" s="83"/>
      <c r="H281" s="37">
        <f>E281*G281</f>
        <v>0</v>
      </c>
      <c r="I281" s="39">
        <f>G281*F281</f>
        <v>0</v>
      </c>
    </row>
    <row r="282" spans="1:9" s="1" customFormat="1" ht="34.5" customHeight="1">
      <c r="A282" s="19" t="s">
        <v>745</v>
      </c>
      <c r="B282" s="66" t="s">
        <v>746</v>
      </c>
      <c r="C282" s="68"/>
      <c r="D282" s="59">
        <v>500</v>
      </c>
      <c r="E282" s="56">
        <v>160</v>
      </c>
      <c r="F282" s="48">
        <v>20.8</v>
      </c>
      <c r="G282" s="83"/>
      <c r="H282" s="37">
        <f>E282*G282</f>
        <v>0</v>
      </c>
      <c r="I282" s="39">
        <f>G282*F282</f>
        <v>0</v>
      </c>
    </row>
    <row r="283" spans="1:9" s="1" customFormat="1" ht="34.5" customHeight="1">
      <c r="A283" s="19" t="s">
        <v>739</v>
      </c>
      <c r="B283" s="66" t="s">
        <v>740</v>
      </c>
      <c r="C283" s="68"/>
      <c r="D283" s="59">
        <v>500</v>
      </c>
      <c r="E283" s="56">
        <v>106</v>
      </c>
      <c r="F283" s="48">
        <v>13.799999999999999</v>
      </c>
      <c r="G283" s="83"/>
      <c r="H283" s="37">
        <f>E283*G283</f>
        <v>0</v>
      </c>
      <c r="I283" s="39">
        <f>G283*F283</f>
        <v>0</v>
      </c>
    </row>
    <row r="284" spans="1:9" s="1" customFormat="1" ht="34.5" customHeight="1">
      <c r="A284" s="19" t="s">
        <v>741</v>
      </c>
      <c r="B284" s="66" t="s">
        <v>742</v>
      </c>
      <c r="C284" s="68"/>
      <c r="D284" s="59">
        <v>500</v>
      </c>
      <c r="E284" s="56">
        <v>171</v>
      </c>
      <c r="F284" s="48">
        <v>22.3</v>
      </c>
      <c r="G284" s="83"/>
      <c r="H284" s="37">
        <f>E284*G284</f>
        <v>0</v>
      </c>
      <c r="I284" s="39">
        <f>G284*F284</f>
        <v>0</v>
      </c>
    </row>
    <row r="285" spans="1:9" s="1" customFormat="1" ht="34.5" customHeight="1">
      <c r="A285" s="19" t="s">
        <v>747</v>
      </c>
      <c r="B285" s="66" t="s">
        <v>748</v>
      </c>
      <c r="C285" s="68"/>
      <c r="D285" s="59">
        <v>500</v>
      </c>
      <c r="E285" s="56">
        <v>104</v>
      </c>
      <c r="F285" s="48">
        <v>13.6</v>
      </c>
      <c r="G285" s="83"/>
      <c r="H285" s="37">
        <f>E285*G285</f>
        <v>0</v>
      </c>
      <c r="I285" s="39">
        <f>G285*F285</f>
        <v>0</v>
      </c>
    </row>
    <row r="286" spans="1:9" s="1" customFormat="1" ht="34.5" customHeight="1">
      <c r="A286" s="19" t="s">
        <v>743</v>
      </c>
      <c r="B286" s="66" t="s">
        <v>744</v>
      </c>
      <c r="C286" s="68"/>
      <c r="D286" s="59">
        <v>500</v>
      </c>
      <c r="E286" s="56">
        <v>112</v>
      </c>
      <c r="F286" s="48">
        <v>14.6</v>
      </c>
      <c r="G286" s="83"/>
      <c r="H286" s="37">
        <f>E286*G286</f>
        <v>0</v>
      </c>
      <c r="I286" s="39">
        <f>G286*F286</f>
        <v>0</v>
      </c>
    </row>
    <row r="287" spans="1:9" s="1" customFormat="1" ht="34.5" customHeight="1">
      <c r="A287" s="19" t="s">
        <v>731</v>
      </c>
      <c r="B287" s="66" t="s">
        <v>732</v>
      </c>
      <c r="C287" s="68"/>
      <c r="D287" s="59">
        <v>500</v>
      </c>
      <c r="E287" s="56">
        <v>182</v>
      </c>
      <c r="F287" s="48">
        <v>23.700000000000003</v>
      </c>
      <c r="G287" s="83"/>
      <c r="H287" s="37">
        <f>E287*G287</f>
        <v>0</v>
      </c>
      <c r="I287" s="39">
        <f>G287*F287</f>
        <v>0</v>
      </c>
    </row>
    <row r="288" spans="1:9" s="1" customFormat="1" ht="34.5" customHeight="1">
      <c r="A288" s="19" t="s">
        <v>713</v>
      </c>
      <c r="B288" s="66" t="s">
        <v>714</v>
      </c>
      <c r="C288" s="68"/>
      <c r="D288" s="59">
        <v>500</v>
      </c>
      <c r="E288" s="56">
        <v>110</v>
      </c>
      <c r="F288" s="48">
        <v>14.299999999999999</v>
      </c>
      <c r="G288" s="83"/>
      <c r="H288" s="37">
        <f>E288*G288</f>
        <v>0</v>
      </c>
      <c r="I288" s="39">
        <f>G288*F288</f>
        <v>0</v>
      </c>
    </row>
    <row r="289" spans="1:9" s="1" customFormat="1" ht="34.5" customHeight="1">
      <c r="A289" s="19" t="s">
        <v>735</v>
      </c>
      <c r="B289" s="66" t="s">
        <v>736</v>
      </c>
      <c r="C289" s="68"/>
      <c r="D289" s="59">
        <v>500</v>
      </c>
      <c r="E289" s="56">
        <v>172</v>
      </c>
      <c r="F289" s="48">
        <v>22.400000000000002</v>
      </c>
      <c r="G289" s="83"/>
      <c r="H289" s="37">
        <f>E289*G289</f>
        <v>0</v>
      </c>
      <c r="I289" s="39">
        <f>G289*F289</f>
        <v>0</v>
      </c>
    </row>
    <row r="290" spans="1:9" s="1" customFormat="1" ht="34.5" customHeight="1">
      <c r="A290" s="19" t="s">
        <v>737</v>
      </c>
      <c r="B290" s="66" t="s">
        <v>738</v>
      </c>
      <c r="C290" s="68"/>
      <c r="D290" s="59">
        <v>500</v>
      </c>
      <c r="E290" s="56">
        <v>168</v>
      </c>
      <c r="F290" s="48">
        <v>21.900000000000002</v>
      </c>
      <c r="G290" s="83"/>
      <c r="H290" s="37">
        <f>E290*G290</f>
        <v>0</v>
      </c>
      <c r="I290" s="39">
        <f>G290*F290</f>
        <v>0</v>
      </c>
    </row>
    <row r="291" spans="1:9" s="1" customFormat="1" ht="34.5" customHeight="1">
      <c r="A291" s="19" t="s">
        <v>705</v>
      </c>
      <c r="B291" s="66" t="s">
        <v>706</v>
      </c>
      <c r="C291" s="68"/>
      <c r="D291" s="59">
        <v>500</v>
      </c>
      <c r="E291" s="56">
        <v>130</v>
      </c>
      <c r="F291" s="48">
        <v>16.900000000000002</v>
      </c>
      <c r="G291" s="83"/>
      <c r="H291" s="37">
        <f>E291*G291</f>
        <v>0</v>
      </c>
      <c r="I291" s="39">
        <f>G291*F291</f>
        <v>0</v>
      </c>
    </row>
    <row r="292" spans="1:9" s="1" customFormat="1" ht="34.5" customHeight="1">
      <c r="A292" s="19" t="s">
        <v>711</v>
      </c>
      <c r="B292" s="66" t="s">
        <v>712</v>
      </c>
      <c r="C292" s="68"/>
      <c r="D292" s="59">
        <v>500</v>
      </c>
      <c r="E292" s="56">
        <v>125</v>
      </c>
      <c r="F292" s="48">
        <v>16.3</v>
      </c>
      <c r="G292" s="83"/>
      <c r="H292" s="37">
        <f>E292*G292</f>
        <v>0</v>
      </c>
      <c r="I292" s="39">
        <f>G292*F292</f>
        <v>0</v>
      </c>
    </row>
    <row r="293" spans="1:9" s="1" customFormat="1" ht="34.5" customHeight="1">
      <c r="A293" s="19" t="s">
        <v>725</v>
      </c>
      <c r="B293" s="66" t="s">
        <v>726</v>
      </c>
      <c r="C293" s="68"/>
      <c r="D293" s="59">
        <v>500</v>
      </c>
      <c r="E293" s="56">
        <v>210</v>
      </c>
      <c r="F293" s="48">
        <v>27.3</v>
      </c>
      <c r="G293" s="83"/>
      <c r="H293" s="37">
        <f>E293*G293</f>
        <v>0</v>
      </c>
      <c r="I293" s="39">
        <f>G293*F293</f>
        <v>0</v>
      </c>
    </row>
    <row r="294" spans="1:9" s="1" customFormat="1" ht="34.5" customHeight="1">
      <c r="A294" s="19" t="s">
        <v>719</v>
      </c>
      <c r="B294" s="66" t="s">
        <v>720</v>
      </c>
      <c r="C294" s="68"/>
      <c r="D294" s="59">
        <v>500</v>
      </c>
      <c r="E294" s="56">
        <v>171</v>
      </c>
      <c r="F294" s="48">
        <v>22.3</v>
      </c>
      <c r="G294" s="83"/>
      <c r="H294" s="37">
        <f>E294*G294</f>
        <v>0</v>
      </c>
      <c r="I294" s="39">
        <f>G294*F294</f>
        <v>0</v>
      </c>
    </row>
    <row r="295" spans="1:9" s="1" customFormat="1" ht="34.5" customHeight="1">
      <c r="A295" s="19" t="s">
        <v>721</v>
      </c>
      <c r="B295" s="66" t="s">
        <v>722</v>
      </c>
      <c r="C295" s="68"/>
      <c r="D295" s="59">
        <v>500</v>
      </c>
      <c r="E295" s="56">
        <v>99</v>
      </c>
      <c r="F295" s="48">
        <v>12.9</v>
      </c>
      <c r="G295" s="83"/>
      <c r="H295" s="37">
        <f>E295*G295</f>
        <v>0</v>
      </c>
      <c r="I295" s="39">
        <f>G295*F295</f>
        <v>0</v>
      </c>
    </row>
    <row r="296" spans="1:9" s="1" customFormat="1" ht="34.5" customHeight="1">
      <c r="A296" s="19" t="s">
        <v>727</v>
      </c>
      <c r="B296" s="66" t="s">
        <v>728</v>
      </c>
      <c r="C296" s="68"/>
      <c r="D296" s="59">
        <v>500</v>
      </c>
      <c r="E296" s="56">
        <v>75</v>
      </c>
      <c r="F296" s="48">
        <v>9.7999999999999989</v>
      </c>
      <c r="G296" s="83"/>
      <c r="H296" s="37">
        <f>E296*G296</f>
        <v>0</v>
      </c>
      <c r="I296" s="39">
        <f>G296*F296</f>
        <v>0</v>
      </c>
    </row>
    <row r="297" spans="1:9" s="1" customFormat="1" ht="34.5" customHeight="1">
      <c r="A297" s="19" t="s">
        <v>723</v>
      </c>
      <c r="B297" s="66" t="s">
        <v>724</v>
      </c>
      <c r="C297" s="68"/>
      <c r="D297" s="59">
        <v>500</v>
      </c>
      <c r="E297" s="56">
        <v>170</v>
      </c>
      <c r="F297" s="48">
        <v>22.1</v>
      </c>
      <c r="G297" s="83"/>
      <c r="H297" s="37">
        <f>E297*G297</f>
        <v>0</v>
      </c>
      <c r="I297" s="39">
        <f>G297*F297</f>
        <v>0</v>
      </c>
    </row>
    <row r="298" spans="1:9" s="1" customFormat="1" ht="34.5" customHeight="1">
      <c r="A298" s="19" t="s">
        <v>729</v>
      </c>
      <c r="B298" s="66" t="s">
        <v>730</v>
      </c>
      <c r="C298" s="68"/>
      <c r="D298" s="59">
        <v>500</v>
      </c>
      <c r="E298" s="56">
        <v>160</v>
      </c>
      <c r="F298" s="48">
        <v>20.8</v>
      </c>
      <c r="G298" s="83"/>
      <c r="H298" s="37">
        <f>E298*G298</f>
        <v>0</v>
      </c>
      <c r="I298" s="39">
        <f>G298*F298</f>
        <v>0</v>
      </c>
    </row>
    <row r="299" spans="1:9" s="1" customFormat="1" ht="34.5" customHeight="1">
      <c r="A299" s="19" t="s">
        <v>717</v>
      </c>
      <c r="B299" s="66" t="s">
        <v>718</v>
      </c>
      <c r="C299" s="68"/>
      <c r="D299" s="59">
        <v>500</v>
      </c>
      <c r="E299" s="56">
        <v>146</v>
      </c>
      <c r="F299" s="48">
        <v>19</v>
      </c>
      <c r="G299" s="83"/>
      <c r="H299" s="37">
        <f>E299*G299</f>
        <v>0</v>
      </c>
      <c r="I299" s="39">
        <f>G299*F299</f>
        <v>0</v>
      </c>
    </row>
    <row r="300" spans="1:9" s="1" customFormat="1" ht="34.5" customHeight="1">
      <c r="A300" s="19" t="s">
        <v>1307</v>
      </c>
      <c r="B300" s="66" t="s">
        <v>1308</v>
      </c>
      <c r="C300" s="68"/>
      <c r="D300" s="59">
        <v>100</v>
      </c>
      <c r="E300" s="56">
        <v>155</v>
      </c>
      <c r="F300" s="48">
        <v>20.200000000000003</v>
      </c>
      <c r="G300" s="83"/>
      <c r="H300" s="37">
        <f>E300*G300</f>
        <v>0</v>
      </c>
      <c r="I300" s="39">
        <f>G300*F300</f>
        <v>0</v>
      </c>
    </row>
    <row r="301" spans="1:9" s="1" customFormat="1" ht="34.5" customHeight="1">
      <c r="A301" s="19" t="s">
        <v>1305</v>
      </c>
      <c r="B301" s="66" t="s">
        <v>1306</v>
      </c>
      <c r="C301" s="68"/>
      <c r="D301" s="59">
        <v>350</v>
      </c>
      <c r="E301" s="56">
        <v>56</v>
      </c>
      <c r="F301" s="48">
        <v>7.3</v>
      </c>
      <c r="G301" s="83"/>
      <c r="H301" s="37">
        <f>E301*G301</f>
        <v>0</v>
      </c>
      <c r="I301" s="39">
        <f>G301*F301</f>
        <v>0</v>
      </c>
    </row>
    <row r="302" spans="1:9" s="1" customFormat="1" ht="34.5" customHeight="1">
      <c r="A302" s="19" t="s">
        <v>1303</v>
      </c>
      <c r="B302" s="66" t="s">
        <v>1304</v>
      </c>
      <c r="C302" s="68"/>
      <c r="D302" s="59">
        <v>200</v>
      </c>
      <c r="E302" s="56">
        <v>176</v>
      </c>
      <c r="F302" s="48">
        <v>22.900000000000002</v>
      </c>
      <c r="G302" s="83"/>
      <c r="H302" s="37">
        <f>E302*G302</f>
        <v>0</v>
      </c>
      <c r="I302" s="39">
        <f>G302*F302</f>
        <v>0</v>
      </c>
    </row>
    <row r="303" spans="1:9" s="1" customFormat="1" ht="34.5" customHeight="1">
      <c r="A303" s="19" t="s">
        <v>603</v>
      </c>
      <c r="B303" s="66" t="s">
        <v>1012</v>
      </c>
      <c r="C303" s="68"/>
      <c r="D303" s="59">
        <v>1000</v>
      </c>
      <c r="E303" s="56">
        <v>620</v>
      </c>
      <c r="F303" s="48">
        <v>80.599999999999994</v>
      </c>
      <c r="G303" s="83"/>
      <c r="H303" s="37">
        <f>E303*G303</f>
        <v>0</v>
      </c>
      <c r="I303" s="39">
        <f>G303*F303</f>
        <v>0</v>
      </c>
    </row>
    <row r="304" spans="1:9" s="1" customFormat="1" ht="34.5" customHeight="1">
      <c r="A304" s="19" t="s">
        <v>1299</v>
      </c>
      <c r="B304" s="66" t="s">
        <v>1300</v>
      </c>
      <c r="C304" s="68"/>
      <c r="D304" s="59">
        <v>200</v>
      </c>
      <c r="E304" s="56">
        <v>165</v>
      </c>
      <c r="F304" s="48">
        <v>21.5</v>
      </c>
      <c r="G304" s="83"/>
      <c r="H304" s="37">
        <f>E304*G304</f>
        <v>0</v>
      </c>
      <c r="I304" s="39">
        <f>G304*F304</f>
        <v>0</v>
      </c>
    </row>
    <row r="305" spans="1:9" s="1" customFormat="1" ht="34.5" customHeight="1">
      <c r="A305" s="19" t="s">
        <v>1311</v>
      </c>
      <c r="B305" s="66" t="s">
        <v>1312</v>
      </c>
      <c r="C305" s="68"/>
      <c r="D305" s="59">
        <v>50</v>
      </c>
      <c r="E305" s="56">
        <v>270</v>
      </c>
      <c r="F305" s="48">
        <v>35.1</v>
      </c>
      <c r="G305" s="83"/>
      <c r="H305" s="37">
        <f>E305*G305</f>
        <v>0</v>
      </c>
      <c r="I305" s="39">
        <f>G305*F305</f>
        <v>0</v>
      </c>
    </row>
    <row r="306" spans="1:9" s="1" customFormat="1" ht="34.5" customHeight="1">
      <c r="A306" s="19" t="s">
        <v>1309</v>
      </c>
      <c r="B306" s="66" t="s">
        <v>1310</v>
      </c>
      <c r="C306" s="68"/>
      <c r="D306" s="59">
        <v>100</v>
      </c>
      <c r="E306" s="56">
        <v>55</v>
      </c>
      <c r="F306" s="48">
        <v>7.1999999999999993</v>
      </c>
      <c r="G306" s="83"/>
      <c r="H306" s="37">
        <f>E306*G306</f>
        <v>0</v>
      </c>
      <c r="I306" s="39">
        <f>G306*F306</f>
        <v>0</v>
      </c>
    </row>
    <row r="307" spans="1:9" s="1" customFormat="1" ht="34.5" customHeight="1">
      <c r="A307" s="19" t="s">
        <v>1301</v>
      </c>
      <c r="B307" s="66" t="s">
        <v>1302</v>
      </c>
      <c r="C307" s="68"/>
      <c r="D307" s="59">
        <v>100</v>
      </c>
      <c r="E307" s="56">
        <v>295</v>
      </c>
      <c r="F307" s="48">
        <v>38.4</v>
      </c>
      <c r="G307" s="83"/>
      <c r="H307" s="37">
        <f>E307*G307</f>
        <v>0</v>
      </c>
      <c r="I307" s="39">
        <f>G307*F307</f>
        <v>0</v>
      </c>
    </row>
    <row r="308" spans="1:9" s="1" customFormat="1" ht="34.5" customHeight="1">
      <c r="A308" s="19" t="s">
        <v>920</v>
      </c>
      <c r="B308" s="66" t="s">
        <v>921</v>
      </c>
      <c r="C308" s="68"/>
      <c r="D308" s="59">
        <v>250</v>
      </c>
      <c r="E308" s="56">
        <v>290</v>
      </c>
      <c r="F308" s="48">
        <v>37.700000000000003</v>
      </c>
      <c r="G308" s="83"/>
      <c r="H308" s="37">
        <f>E308*G308</f>
        <v>0</v>
      </c>
      <c r="I308" s="39">
        <f>G308*F308</f>
        <v>0</v>
      </c>
    </row>
    <row r="309" spans="1:9" s="1" customFormat="1" ht="34.5" customHeight="1">
      <c r="A309" s="19" t="s">
        <v>1313</v>
      </c>
      <c r="B309" s="66" t="s">
        <v>1314</v>
      </c>
      <c r="C309" s="68"/>
      <c r="D309" s="59">
        <v>50</v>
      </c>
      <c r="E309" s="56">
        <v>65</v>
      </c>
      <c r="F309" s="48">
        <v>8.5</v>
      </c>
      <c r="G309" s="83"/>
      <c r="H309" s="37">
        <f>E309*G309</f>
        <v>0</v>
      </c>
      <c r="I309" s="39">
        <f>G309*F309</f>
        <v>0</v>
      </c>
    </row>
    <row r="310" spans="1:9" s="1" customFormat="1" ht="34.5" customHeight="1">
      <c r="A310" s="19" t="s">
        <v>235</v>
      </c>
      <c r="B310" s="66" t="s">
        <v>236</v>
      </c>
      <c r="C310" s="68"/>
      <c r="D310" s="59">
        <v>2000</v>
      </c>
      <c r="E310" s="56">
        <v>140</v>
      </c>
      <c r="F310" s="48">
        <v>18.200000000000003</v>
      </c>
      <c r="G310" s="83"/>
      <c r="H310" s="37">
        <f>E310*G310</f>
        <v>0</v>
      </c>
      <c r="I310" s="39">
        <f>G310*F310</f>
        <v>0</v>
      </c>
    </row>
    <row r="311" spans="1:9" s="1" customFormat="1" ht="34.5" customHeight="1">
      <c r="A311" s="19" t="s">
        <v>1013</v>
      </c>
      <c r="B311" s="66" t="s">
        <v>1339</v>
      </c>
      <c r="C311" s="68"/>
      <c r="D311" s="59">
        <v>1000</v>
      </c>
      <c r="E311" s="56">
        <v>165</v>
      </c>
      <c r="F311" s="48">
        <v>21.5</v>
      </c>
      <c r="G311" s="83"/>
      <c r="H311" s="37">
        <f>E311*G311</f>
        <v>0</v>
      </c>
      <c r="I311" s="39">
        <f>G311*F311</f>
        <v>0</v>
      </c>
    </row>
    <row r="312" spans="1:9" s="1" customFormat="1" ht="34.5" customHeight="1">
      <c r="A312" s="19" t="s">
        <v>1274</v>
      </c>
      <c r="B312" s="66" t="s">
        <v>1275</v>
      </c>
      <c r="C312" s="68"/>
      <c r="D312" s="59">
        <v>450</v>
      </c>
      <c r="E312" s="56">
        <v>310</v>
      </c>
      <c r="F312" s="48">
        <v>40.300000000000004</v>
      </c>
      <c r="G312" s="83"/>
      <c r="H312" s="37">
        <f>E312*G312</f>
        <v>0</v>
      </c>
      <c r="I312" s="39">
        <f>G312*F312</f>
        <v>0</v>
      </c>
    </row>
    <row r="313" spans="1:9" s="1" customFormat="1" ht="34.5" customHeight="1">
      <c r="A313" s="19" t="s">
        <v>1273</v>
      </c>
      <c r="B313" s="66" t="s">
        <v>1341</v>
      </c>
      <c r="C313" s="68"/>
      <c r="D313" s="59">
        <v>1000</v>
      </c>
      <c r="E313" s="56">
        <v>255</v>
      </c>
      <c r="F313" s="48">
        <v>33.200000000000003</v>
      </c>
      <c r="G313" s="83"/>
      <c r="H313" s="37">
        <f>E313*G313</f>
        <v>0</v>
      </c>
      <c r="I313" s="39">
        <f>G313*F313</f>
        <v>0</v>
      </c>
    </row>
    <row r="314" spans="1:9" s="1" customFormat="1" ht="34.5" customHeight="1">
      <c r="A314" s="19" t="s">
        <v>1272</v>
      </c>
      <c r="B314" s="66" t="s">
        <v>1340</v>
      </c>
      <c r="C314" s="68"/>
      <c r="D314" s="59">
        <v>100</v>
      </c>
      <c r="E314" s="56">
        <v>245</v>
      </c>
      <c r="F314" s="48">
        <v>31.900000000000002</v>
      </c>
      <c r="G314" s="83"/>
      <c r="H314" s="37">
        <f>E314*G314</f>
        <v>0</v>
      </c>
      <c r="I314" s="39">
        <f>G314*F314</f>
        <v>0</v>
      </c>
    </row>
    <row r="315" spans="1:9" s="1" customFormat="1" ht="34.5" customHeight="1">
      <c r="A315" s="19" t="s">
        <v>234</v>
      </c>
      <c r="B315" s="66" t="s">
        <v>1343</v>
      </c>
      <c r="C315" s="68"/>
      <c r="D315" s="59">
        <v>1000</v>
      </c>
      <c r="E315" s="56">
        <v>175</v>
      </c>
      <c r="F315" s="48">
        <v>22.8</v>
      </c>
      <c r="G315" s="83"/>
      <c r="H315" s="37">
        <f>E315*G315</f>
        <v>0</v>
      </c>
      <c r="I315" s="39">
        <f>G315*F315</f>
        <v>0</v>
      </c>
    </row>
    <row r="316" spans="1:9" s="1" customFormat="1" ht="34.5" customHeight="1">
      <c r="A316" s="19" t="s">
        <v>233</v>
      </c>
      <c r="B316" s="66" t="s">
        <v>1342</v>
      </c>
      <c r="C316" s="68"/>
      <c r="D316" s="59">
        <v>120</v>
      </c>
      <c r="E316" s="56">
        <v>140</v>
      </c>
      <c r="F316" s="48">
        <v>18.200000000000003</v>
      </c>
      <c r="G316" s="83"/>
      <c r="H316" s="37">
        <f>E316*G316</f>
        <v>0</v>
      </c>
      <c r="I316" s="39">
        <f>G316*F316</f>
        <v>0</v>
      </c>
    </row>
    <row r="317" spans="1:9" s="1" customFormat="1" ht="34.5" customHeight="1">
      <c r="A317" s="19" t="s">
        <v>1276</v>
      </c>
      <c r="B317" s="66" t="s">
        <v>1277</v>
      </c>
      <c r="C317" s="68"/>
      <c r="D317" s="59">
        <v>100</v>
      </c>
      <c r="E317" s="56">
        <v>230</v>
      </c>
      <c r="F317" s="48">
        <v>29.900000000000002</v>
      </c>
      <c r="G317" s="83"/>
      <c r="H317" s="37">
        <f>E317*G317</f>
        <v>0</v>
      </c>
      <c r="I317" s="39">
        <f>G317*F317</f>
        <v>0</v>
      </c>
    </row>
    <row r="318" spans="1:9" s="1" customFormat="1" ht="34.5" customHeight="1">
      <c r="A318" s="19" t="s">
        <v>1165</v>
      </c>
      <c r="B318" s="66" t="s">
        <v>1166</v>
      </c>
      <c r="C318" s="68"/>
      <c r="D318" s="59">
        <v>2000</v>
      </c>
      <c r="E318" s="56">
        <v>155</v>
      </c>
      <c r="F318" s="48">
        <v>20.200000000000003</v>
      </c>
      <c r="G318" s="83"/>
      <c r="H318" s="37">
        <f>E318*G318</f>
        <v>0</v>
      </c>
      <c r="I318" s="39">
        <f>G318*F318</f>
        <v>0</v>
      </c>
    </row>
    <row r="319" spans="1:9" s="1" customFormat="1" ht="34.5" customHeight="1">
      <c r="A319" s="19" t="s">
        <v>1278</v>
      </c>
      <c r="B319" s="66" t="s">
        <v>1279</v>
      </c>
      <c r="C319" s="68"/>
      <c r="D319" s="59">
        <v>500</v>
      </c>
      <c r="E319" s="56">
        <v>450</v>
      </c>
      <c r="F319" s="48">
        <v>58.5</v>
      </c>
      <c r="G319" s="83"/>
      <c r="H319" s="37">
        <f>E319*G319</f>
        <v>0</v>
      </c>
      <c r="I319" s="39">
        <f>G319*F319</f>
        <v>0</v>
      </c>
    </row>
    <row r="320" spans="1:9" s="1" customFormat="1" ht="34.5" customHeight="1">
      <c r="A320" s="19" t="s">
        <v>604</v>
      </c>
      <c r="B320" s="66" t="s">
        <v>605</v>
      </c>
      <c r="C320" s="68"/>
      <c r="D320" s="59">
        <v>2000</v>
      </c>
      <c r="E320" s="56">
        <v>120</v>
      </c>
      <c r="F320" s="48">
        <v>15.6</v>
      </c>
      <c r="G320" s="83"/>
      <c r="H320" s="37">
        <f>E320*G320</f>
        <v>0</v>
      </c>
      <c r="I320" s="39">
        <f>G320*F320</f>
        <v>0</v>
      </c>
    </row>
    <row r="321" spans="1:9" s="1" customFormat="1" ht="34.5" customHeight="1">
      <c r="A321" s="19" t="s">
        <v>231</v>
      </c>
      <c r="B321" s="66" t="s">
        <v>1335</v>
      </c>
      <c r="C321" s="68"/>
      <c r="D321" s="59">
        <v>2000</v>
      </c>
      <c r="E321" s="56">
        <v>246</v>
      </c>
      <c r="F321" s="48">
        <v>32</v>
      </c>
      <c r="G321" s="83"/>
      <c r="H321" s="37">
        <f>E321*G321</f>
        <v>0</v>
      </c>
      <c r="I321" s="39">
        <f>G321*F321</f>
        <v>0</v>
      </c>
    </row>
    <row r="322" spans="1:9" s="1" customFormat="1" ht="34.5" customHeight="1">
      <c r="A322" s="19" t="s">
        <v>1085</v>
      </c>
      <c r="B322" s="66" t="s">
        <v>1336</v>
      </c>
      <c r="C322" s="68"/>
      <c r="D322" s="59">
        <v>1500</v>
      </c>
      <c r="E322" s="56">
        <v>149</v>
      </c>
      <c r="F322" s="48">
        <v>19.400000000000002</v>
      </c>
      <c r="G322" s="83"/>
      <c r="H322" s="37">
        <f>E322*G322</f>
        <v>0</v>
      </c>
      <c r="I322" s="39">
        <f>G322*F322</f>
        <v>0</v>
      </c>
    </row>
    <row r="323" spans="1:9" s="1" customFormat="1" ht="34.5" customHeight="1">
      <c r="A323" s="19" t="s">
        <v>1271</v>
      </c>
      <c r="B323" s="66" t="s">
        <v>1338</v>
      </c>
      <c r="C323" s="68"/>
      <c r="D323" s="59">
        <v>400</v>
      </c>
      <c r="E323" s="56">
        <v>278</v>
      </c>
      <c r="F323" s="48">
        <v>36.200000000000003</v>
      </c>
      <c r="G323" s="83"/>
      <c r="H323" s="37">
        <f>E323*G323</f>
        <v>0</v>
      </c>
      <c r="I323" s="39">
        <f>G323*F323</f>
        <v>0</v>
      </c>
    </row>
    <row r="324" spans="1:9" s="1" customFormat="1" ht="34.5" customHeight="1">
      <c r="A324" s="19" t="s">
        <v>907</v>
      </c>
      <c r="B324" s="66" t="s">
        <v>908</v>
      </c>
      <c r="C324" s="68"/>
      <c r="D324" s="59">
        <v>10</v>
      </c>
      <c r="E324" s="56">
        <v>280</v>
      </c>
      <c r="F324" s="48">
        <v>36.4</v>
      </c>
      <c r="G324" s="83"/>
      <c r="H324" s="37">
        <f>E324*G324</f>
        <v>0</v>
      </c>
      <c r="I324" s="39">
        <f>G324*F324</f>
        <v>0</v>
      </c>
    </row>
    <row r="325" spans="1:9" s="1" customFormat="1" ht="34.5" customHeight="1">
      <c r="A325" s="19" t="s">
        <v>232</v>
      </c>
      <c r="B325" s="66" t="s">
        <v>1337</v>
      </c>
      <c r="C325" s="68"/>
      <c r="D325" s="59">
        <v>400</v>
      </c>
      <c r="E325" s="56">
        <v>138</v>
      </c>
      <c r="F325" s="48">
        <v>18</v>
      </c>
      <c r="G325" s="83"/>
      <c r="H325" s="37">
        <f>E325*G325</f>
        <v>0</v>
      </c>
      <c r="I325" s="39">
        <f>G325*F325</f>
        <v>0</v>
      </c>
    </row>
    <row r="326" spans="1:9" s="1" customFormat="1" ht="34.5" customHeight="1">
      <c r="A326" s="19" t="s">
        <v>1377</v>
      </c>
      <c r="B326" s="66" t="s">
        <v>1378</v>
      </c>
      <c r="C326" s="68"/>
      <c r="D326" s="59">
        <v>200</v>
      </c>
      <c r="E326" s="56">
        <v>1103</v>
      </c>
      <c r="F326" s="48">
        <v>143.29999999999998</v>
      </c>
      <c r="G326" s="83"/>
      <c r="H326" s="37">
        <f>E326*G326</f>
        <v>0</v>
      </c>
      <c r="I326" s="39">
        <f>G326*F326</f>
        <v>0</v>
      </c>
    </row>
    <row r="327" spans="1:9" s="1" customFormat="1" ht="34.5" customHeight="1">
      <c r="A327" s="19" t="s">
        <v>306</v>
      </c>
      <c r="B327" s="66" t="s">
        <v>500</v>
      </c>
      <c r="C327" s="68"/>
      <c r="D327" s="59">
        <v>2000</v>
      </c>
      <c r="E327" s="56">
        <v>363</v>
      </c>
      <c r="F327" s="48">
        <v>47.2</v>
      </c>
      <c r="G327" s="83"/>
      <c r="H327" s="37">
        <f>E327*G327</f>
        <v>0</v>
      </c>
      <c r="I327" s="39">
        <f>G327*F327</f>
        <v>0</v>
      </c>
    </row>
    <row r="328" spans="1:9" s="1" customFormat="1" ht="34.5" customHeight="1">
      <c r="A328" s="19" t="s">
        <v>1344</v>
      </c>
      <c r="B328" s="66" t="s">
        <v>1345</v>
      </c>
      <c r="C328" s="68"/>
      <c r="D328" s="59">
        <v>500</v>
      </c>
      <c r="E328" s="56">
        <v>1258</v>
      </c>
      <c r="F328" s="48">
        <v>163.4</v>
      </c>
      <c r="G328" s="83"/>
      <c r="H328" s="37">
        <f>E328*G328</f>
        <v>0</v>
      </c>
      <c r="I328" s="39">
        <f>G328*F328</f>
        <v>0</v>
      </c>
    </row>
    <row r="329" spans="1:9" s="1" customFormat="1" ht="34.5" customHeight="1">
      <c r="A329" s="19" t="s">
        <v>311</v>
      </c>
      <c r="B329" s="66" t="s">
        <v>501</v>
      </c>
      <c r="C329" s="68"/>
      <c r="D329" s="59">
        <v>3000</v>
      </c>
      <c r="E329" s="56">
        <v>428</v>
      </c>
      <c r="F329" s="48">
        <v>55.6</v>
      </c>
      <c r="G329" s="83"/>
      <c r="H329" s="37">
        <f>E329*G329</f>
        <v>0</v>
      </c>
      <c r="I329" s="39">
        <f>G329*F329</f>
        <v>0</v>
      </c>
    </row>
    <row r="330" spans="1:9" s="1" customFormat="1" ht="34.5" customHeight="1">
      <c r="A330" s="19" t="s">
        <v>307</v>
      </c>
      <c r="B330" s="66" t="s">
        <v>502</v>
      </c>
      <c r="C330" s="68"/>
      <c r="D330" s="59">
        <v>1000</v>
      </c>
      <c r="E330" s="56">
        <v>458</v>
      </c>
      <c r="F330" s="48">
        <f>ROUNDUP(E330/7.7,1)</f>
        <v>59.5</v>
      </c>
      <c r="G330" s="83"/>
      <c r="H330" s="37">
        <f>E330*G330</f>
        <v>0</v>
      </c>
      <c r="I330" s="39">
        <f>G330*F330</f>
        <v>0</v>
      </c>
    </row>
    <row r="331" spans="1:9" s="1" customFormat="1" ht="34.5" customHeight="1">
      <c r="A331" s="19" t="s">
        <v>305</v>
      </c>
      <c r="B331" s="66" t="s">
        <v>499</v>
      </c>
      <c r="C331" s="68" t="s">
        <v>1379</v>
      </c>
      <c r="D331" s="59">
        <v>2000</v>
      </c>
      <c r="E331" s="56">
        <v>670</v>
      </c>
      <c r="F331" s="48">
        <v>87.1</v>
      </c>
      <c r="G331" s="83"/>
      <c r="H331" s="37">
        <f>E331*G331</f>
        <v>0</v>
      </c>
      <c r="I331" s="39">
        <f>G331*F331</f>
        <v>0</v>
      </c>
    </row>
    <row r="332" spans="1:9" s="1" customFormat="1" ht="34.5" customHeight="1">
      <c r="A332" s="19" t="s">
        <v>982</v>
      </c>
      <c r="B332" s="66" t="s">
        <v>983</v>
      </c>
      <c r="C332" s="68"/>
      <c r="D332" s="59">
        <v>2000</v>
      </c>
      <c r="E332" s="56">
        <v>785</v>
      </c>
      <c r="F332" s="48">
        <v>102</v>
      </c>
      <c r="G332" s="83"/>
      <c r="H332" s="37">
        <f>E332*G332</f>
        <v>0</v>
      </c>
      <c r="I332" s="39">
        <f>G332*F332</f>
        <v>0</v>
      </c>
    </row>
    <row r="333" spans="1:9" s="1" customFormat="1" ht="34.5" customHeight="1">
      <c r="A333" s="19" t="s">
        <v>630</v>
      </c>
      <c r="B333" s="66" t="s">
        <v>631</v>
      </c>
      <c r="C333" s="68"/>
      <c r="D333" s="59">
        <v>1000</v>
      </c>
      <c r="E333" s="56">
        <v>418</v>
      </c>
      <c r="F333" s="48">
        <v>54.300000000000004</v>
      </c>
      <c r="G333" s="83"/>
      <c r="H333" s="37">
        <f>E333*G333</f>
        <v>0</v>
      </c>
      <c r="I333" s="39">
        <f>G333*F333</f>
        <v>0</v>
      </c>
    </row>
    <row r="334" spans="1:9" s="1" customFormat="1" ht="34.5" customHeight="1">
      <c r="A334" s="19" t="s">
        <v>571</v>
      </c>
      <c r="B334" s="66" t="s">
        <v>572</v>
      </c>
      <c r="C334" s="68"/>
      <c r="D334" s="59">
        <v>500</v>
      </c>
      <c r="E334" s="56">
        <v>303</v>
      </c>
      <c r="F334" s="48">
        <v>39.4</v>
      </c>
      <c r="G334" s="83"/>
      <c r="H334" s="37">
        <f>E334*G334</f>
        <v>0</v>
      </c>
      <c r="I334" s="39">
        <f>G334*F334</f>
        <v>0</v>
      </c>
    </row>
    <row r="335" spans="1:9" s="1" customFormat="1" ht="34.5" customHeight="1">
      <c r="A335" s="19" t="s">
        <v>308</v>
      </c>
      <c r="B335" s="66" t="s">
        <v>503</v>
      </c>
      <c r="C335" s="68" t="s">
        <v>1379</v>
      </c>
      <c r="D335" s="59">
        <v>1000</v>
      </c>
      <c r="E335" s="56">
        <v>1938</v>
      </c>
      <c r="F335" s="48">
        <v>251.7</v>
      </c>
      <c r="G335" s="83"/>
      <c r="H335" s="37">
        <f>E335*G335</f>
        <v>0</v>
      </c>
      <c r="I335" s="39">
        <f>G335*F335</f>
        <v>0</v>
      </c>
    </row>
    <row r="336" spans="1:9" s="1" customFormat="1" ht="34.5" customHeight="1">
      <c r="A336" s="19" t="s">
        <v>1115</v>
      </c>
      <c r="B336" s="66" t="s">
        <v>1131</v>
      </c>
      <c r="C336" s="68"/>
      <c r="D336" s="59">
        <v>500</v>
      </c>
      <c r="E336" s="56">
        <v>795</v>
      </c>
      <c r="F336" s="48">
        <v>103.3</v>
      </c>
      <c r="G336" s="83"/>
      <c r="H336" s="37">
        <f>E336*G336</f>
        <v>0</v>
      </c>
      <c r="I336" s="39">
        <f>G336*F336</f>
        <v>0</v>
      </c>
    </row>
    <row r="337" spans="1:9" s="1" customFormat="1" ht="34.5" customHeight="1">
      <c r="A337" s="19" t="s">
        <v>1114</v>
      </c>
      <c r="B337" s="66" t="s">
        <v>1130</v>
      </c>
      <c r="C337" s="68"/>
      <c r="D337" s="59">
        <v>500</v>
      </c>
      <c r="E337" s="56">
        <v>1398</v>
      </c>
      <c r="F337" s="48">
        <f>ROUNDUP(E337/7.7,1)</f>
        <v>181.6</v>
      </c>
      <c r="G337" s="83"/>
      <c r="H337" s="37">
        <f>E337*G337</f>
        <v>0</v>
      </c>
      <c r="I337" s="39">
        <f>G337*F337</f>
        <v>0</v>
      </c>
    </row>
    <row r="338" spans="1:9" s="1" customFormat="1" ht="34.5" customHeight="1">
      <c r="A338" s="19" t="s">
        <v>478</v>
      </c>
      <c r="B338" s="66" t="s">
        <v>504</v>
      </c>
      <c r="C338" s="68"/>
      <c r="D338" s="59">
        <v>1000</v>
      </c>
      <c r="E338" s="56">
        <v>1538</v>
      </c>
      <c r="F338" s="48">
        <f>ROUNDUP(E338/7.7,1)</f>
        <v>199.79999999999998</v>
      </c>
      <c r="G338" s="83"/>
      <c r="H338" s="37">
        <f>E338*G338</f>
        <v>0</v>
      </c>
      <c r="I338" s="39">
        <f>G338*F338</f>
        <v>0</v>
      </c>
    </row>
    <row r="339" spans="1:9" s="1" customFormat="1" ht="34.5" customHeight="1">
      <c r="A339" s="19" t="s">
        <v>784</v>
      </c>
      <c r="B339" s="66" t="s">
        <v>785</v>
      </c>
      <c r="C339" s="68"/>
      <c r="D339" s="59">
        <v>100</v>
      </c>
      <c r="E339" s="56">
        <v>2623</v>
      </c>
      <c r="F339" s="48">
        <v>340.70000000000005</v>
      </c>
      <c r="G339" s="83"/>
      <c r="H339" s="37">
        <f>E339*G339</f>
        <v>0</v>
      </c>
      <c r="I339" s="39">
        <f>G339*F339</f>
        <v>0</v>
      </c>
    </row>
    <row r="340" spans="1:9" s="1" customFormat="1" ht="34.5" customHeight="1">
      <c r="A340" s="19" t="s">
        <v>699</v>
      </c>
      <c r="B340" s="66" t="s">
        <v>700</v>
      </c>
      <c r="C340" s="68"/>
      <c r="D340" s="59">
        <v>1000</v>
      </c>
      <c r="E340" s="56">
        <v>2548</v>
      </c>
      <c r="F340" s="48">
        <v>331</v>
      </c>
      <c r="G340" s="83"/>
      <c r="H340" s="37">
        <f>E340*G340</f>
        <v>0</v>
      </c>
      <c r="I340" s="39">
        <f>G340*F340</f>
        <v>0</v>
      </c>
    </row>
    <row r="341" spans="1:9" s="1" customFormat="1" ht="34.5" customHeight="1">
      <c r="A341" s="19" t="s">
        <v>310</v>
      </c>
      <c r="B341" s="66" t="s">
        <v>506</v>
      </c>
      <c r="C341" s="68"/>
      <c r="D341" s="59">
        <v>725</v>
      </c>
      <c r="E341" s="56">
        <v>970</v>
      </c>
      <c r="F341" s="48">
        <v>126</v>
      </c>
      <c r="G341" s="83"/>
      <c r="H341" s="37">
        <f>E341*G341</f>
        <v>0</v>
      </c>
      <c r="I341" s="39">
        <f>G341*F341</f>
        <v>0</v>
      </c>
    </row>
    <row r="342" spans="1:9" s="1" customFormat="1" ht="34.5" customHeight="1">
      <c r="A342" s="19" t="s">
        <v>309</v>
      </c>
      <c r="B342" s="66" t="s">
        <v>505</v>
      </c>
      <c r="C342" s="68"/>
      <c r="D342" s="59">
        <v>500</v>
      </c>
      <c r="E342" s="56">
        <v>1673</v>
      </c>
      <c r="F342" s="48">
        <v>217.29999999999998</v>
      </c>
      <c r="G342" s="83"/>
      <c r="H342" s="37">
        <f>E342*G342</f>
        <v>0</v>
      </c>
      <c r="I342" s="39">
        <f>G342*F342</f>
        <v>0</v>
      </c>
    </row>
    <row r="343" spans="1:9" s="1" customFormat="1" ht="34.5" customHeight="1">
      <c r="A343" s="19" t="s">
        <v>573</v>
      </c>
      <c r="B343" s="66" t="s">
        <v>574</v>
      </c>
      <c r="C343" s="68"/>
      <c r="D343" s="59">
        <v>800</v>
      </c>
      <c r="E343" s="56">
        <v>1128</v>
      </c>
      <c r="F343" s="48">
        <f>ROUNDUP(E343/7.7,1)</f>
        <v>146.5</v>
      </c>
      <c r="G343" s="83"/>
      <c r="H343" s="37">
        <f>E343*G343</f>
        <v>0</v>
      </c>
      <c r="I343" s="39">
        <f>G343*F343</f>
        <v>0</v>
      </c>
    </row>
    <row r="344" spans="1:9" s="1" customFormat="1" ht="34.5" customHeight="1">
      <c r="A344" s="19" t="s">
        <v>1096</v>
      </c>
      <c r="B344" s="66" t="s">
        <v>1097</v>
      </c>
      <c r="C344" s="68"/>
      <c r="D344" s="59">
        <v>2000</v>
      </c>
      <c r="E344" s="56">
        <v>710</v>
      </c>
      <c r="F344" s="48">
        <v>92.3</v>
      </c>
      <c r="G344" s="83"/>
      <c r="H344" s="37">
        <f>E344*G344</f>
        <v>0</v>
      </c>
      <c r="I344" s="39">
        <f>G344*F344</f>
        <v>0</v>
      </c>
    </row>
    <row r="345" spans="1:9" s="1" customFormat="1" ht="34.5" customHeight="1">
      <c r="A345" s="19" t="s">
        <v>258</v>
      </c>
      <c r="B345" s="66" t="s">
        <v>1182</v>
      </c>
      <c r="C345" s="68"/>
      <c r="D345" s="59">
        <v>300</v>
      </c>
      <c r="E345" s="56">
        <v>1128</v>
      </c>
      <c r="F345" s="48">
        <v>146.5</v>
      </c>
      <c r="G345" s="83"/>
      <c r="H345" s="37">
        <f>E345*G345</f>
        <v>0</v>
      </c>
      <c r="I345" s="39">
        <f>G345*F345</f>
        <v>0</v>
      </c>
    </row>
    <row r="346" spans="1:9" s="1" customFormat="1" ht="34.5" customHeight="1">
      <c r="A346" s="19" t="s">
        <v>239</v>
      </c>
      <c r="B346" s="66" t="s">
        <v>1167</v>
      </c>
      <c r="C346" s="68"/>
      <c r="D346" s="59">
        <v>1000</v>
      </c>
      <c r="E346" s="56">
        <v>1648</v>
      </c>
      <c r="F346" s="48">
        <v>214.1</v>
      </c>
      <c r="G346" s="83"/>
      <c r="H346" s="37">
        <f>E346*G346</f>
        <v>0</v>
      </c>
      <c r="I346" s="39">
        <f>G346*F346</f>
        <v>0</v>
      </c>
    </row>
    <row r="347" spans="1:9" s="1" customFormat="1" ht="34.5" customHeight="1">
      <c r="A347" s="19" t="s">
        <v>1095</v>
      </c>
      <c r="B347" s="66" t="s">
        <v>1196</v>
      </c>
      <c r="C347" s="68"/>
      <c r="D347" s="59">
        <v>300</v>
      </c>
      <c r="E347" s="56">
        <v>1028</v>
      </c>
      <c r="F347" s="48">
        <v>133.6</v>
      </c>
      <c r="G347" s="83"/>
      <c r="H347" s="37">
        <f>E347*G347</f>
        <v>0</v>
      </c>
      <c r="I347" s="39">
        <f>G347*F347</f>
        <v>0</v>
      </c>
    </row>
    <row r="348" spans="1:9" s="1" customFormat="1" ht="34.5" customHeight="1">
      <c r="A348" s="19" t="s">
        <v>287</v>
      </c>
      <c r="B348" s="66" t="s">
        <v>1197</v>
      </c>
      <c r="C348" s="68"/>
      <c r="D348" s="59">
        <v>500</v>
      </c>
      <c r="E348" s="56">
        <v>990</v>
      </c>
      <c r="F348" s="48">
        <v>128.6</v>
      </c>
      <c r="G348" s="83"/>
      <c r="H348" s="37">
        <f>E348*G348</f>
        <v>0</v>
      </c>
      <c r="I348" s="39">
        <f>G348*F348</f>
        <v>0</v>
      </c>
    </row>
    <row r="349" spans="1:9" s="1" customFormat="1" ht="34.5" customHeight="1">
      <c r="A349" s="19" t="s">
        <v>296</v>
      </c>
      <c r="B349" s="66" t="s">
        <v>297</v>
      </c>
      <c r="C349" s="68"/>
      <c r="D349" s="59">
        <v>100</v>
      </c>
      <c r="E349" s="56">
        <v>570</v>
      </c>
      <c r="F349" s="48">
        <v>74.099999999999994</v>
      </c>
      <c r="G349" s="83"/>
      <c r="H349" s="37">
        <f>E349*G349</f>
        <v>0</v>
      </c>
      <c r="I349" s="39">
        <f>G349*F349</f>
        <v>0</v>
      </c>
    </row>
    <row r="350" spans="1:9" s="1" customFormat="1" ht="34.5" customHeight="1">
      <c r="A350" s="19" t="s">
        <v>293</v>
      </c>
      <c r="B350" s="66" t="s">
        <v>1024</v>
      </c>
      <c r="C350" s="68"/>
      <c r="D350" s="59">
        <v>200</v>
      </c>
      <c r="E350" s="56">
        <v>940</v>
      </c>
      <c r="F350" s="48">
        <f>ROUNDUP(E350/7.7,1)</f>
        <v>122.1</v>
      </c>
      <c r="G350" s="83"/>
      <c r="H350" s="37">
        <f>E350*G350</f>
        <v>0</v>
      </c>
      <c r="I350" s="39">
        <f>G350*F350</f>
        <v>0</v>
      </c>
    </row>
    <row r="351" spans="1:9" s="1" customFormat="1" ht="34.5" customHeight="1">
      <c r="A351" s="19" t="s">
        <v>290</v>
      </c>
      <c r="B351" s="66" t="s">
        <v>291</v>
      </c>
      <c r="C351" s="68"/>
      <c r="D351" s="59">
        <v>100</v>
      </c>
      <c r="E351" s="56">
        <v>720</v>
      </c>
      <c r="F351" s="48">
        <v>93.6</v>
      </c>
      <c r="G351" s="83"/>
      <c r="H351" s="37">
        <f>E351*G351</f>
        <v>0</v>
      </c>
      <c r="I351" s="39">
        <f>G351*F351</f>
        <v>0</v>
      </c>
    </row>
    <row r="352" spans="1:9" s="1" customFormat="1" ht="34.5" customHeight="1">
      <c r="A352" s="19" t="s">
        <v>240</v>
      </c>
      <c r="B352" s="66" t="s">
        <v>494</v>
      </c>
      <c r="C352" s="68"/>
      <c r="D352" s="59">
        <v>100</v>
      </c>
      <c r="E352" s="56">
        <v>405</v>
      </c>
      <c r="F352" s="48">
        <v>52.6</v>
      </c>
      <c r="G352" s="83"/>
      <c r="H352" s="37">
        <f>E352*G352</f>
        <v>0</v>
      </c>
      <c r="I352" s="39">
        <f>G352*F352</f>
        <v>0</v>
      </c>
    </row>
    <row r="353" spans="1:9" s="1" customFormat="1" ht="34.5" customHeight="1">
      <c r="A353" s="19" t="s">
        <v>295</v>
      </c>
      <c r="B353" s="66" t="s">
        <v>1201</v>
      </c>
      <c r="C353" s="68"/>
      <c r="D353" s="59">
        <v>500</v>
      </c>
      <c r="E353" s="56">
        <v>600</v>
      </c>
      <c r="F353" s="48">
        <v>78</v>
      </c>
      <c r="G353" s="83"/>
      <c r="H353" s="37">
        <f>E353*G353</f>
        <v>0</v>
      </c>
      <c r="I353" s="39">
        <f>G353*F353</f>
        <v>0</v>
      </c>
    </row>
    <row r="354" spans="1:9" s="1" customFormat="1" ht="34.5" customHeight="1">
      <c r="A354" s="19" t="s">
        <v>289</v>
      </c>
      <c r="B354" s="66" t="s">
        <v>1198</v>
      </c>
      <c r="C354" s="68"/>
      <c r="D354" s="59">
        <v>500</v>
      </c>
      <c r="E354" s="56">
        <v>740</v>
      </c>
      <c r="F354" s="48">
        <v>96.199999999999989</v>
      </c>
      <c r="G354" s="83"/>
      <c r="H354" s="37">
        <f>E354*G354</f>
        <v>0</v>
      </c>
      <c r="I354" s="39">
        <f>G354*F354</f>
        <v>0</v>
      </c>
    </row>
    <row r="355" spans="1:9" s="1" customFormat="1" ht="34.5" customHeight="1">
      <c r="A355" s="19" t="s">
        <v>292</v>
      </c>
      <c r="B355" s="66" t="s">
        <v>1199</v>
      </c>
      <c r="C355" s="68"/>
      <c r="D355" s="59">
        <v>100</v>
      </c>
      <c r="E355" s="56">
        <v>560</v>
      </c>
      <c r="F355" s="48">
        <v>72.8</v>
      </c>
      <c r="G355" s="83"/>
      <c r="H355" s="37">
        <f>E355*G355</f>
        <v>0</v>
      </c>
      <c r="I355" s="39">
        <f>G355*F355</f>
        <v>0</v>
      </c>
    </row>
    <row r="356" spans="1:9" s="1" customFormat="1" ht="34.5" customHeight="1">
      <c r="A356" s="19" t="s">
        <v>298</v>
      </c>
      <c r="B356" s="66" t="s">
        <v>498</v>
      </c>
      <c r="C356" s="68"/>
      <c r="D356" s="59">
        <v>1000</v>
      </c>
      <c r="E356" s="56">
        <v>320</v>
      </c>
      <c r="F356" s="48">
        <f>ROUNDUP(E356/7.7,1)</f>
        <v>41.6</v>
      </c>
      <c r="G356" s="83"/>
      <c r="H356" s="37">
        <f>E356*G356</f>
        <v>0</v>
      </c>
      <c r="I356" s="39">
        <f>G356*F356</f>
        <v>0</v>
      </c>
    </row>
    <row r="357" spans="1:9" s="1" customFormat="1" ht="34.5" customHeight="1">
      <c r="A357" s="19" t="s">
        <v>283</v>
      </c>
      <c r="B357" s="66" t="s">
        <v>1178</v>
      </c>
      <c r="C357" s="68"/>
      <c r="D357" s="59">
        <v>500</v>
      </c>
      <c r="E357" s="56">
        <v>820</v>
      </c>
      <c r="F357" s="48">
        <v>106.5</v>
      </c>
      <c r="G357" s="83"/>
      <c r="H357" s="37">
        <f>E357*G357</f>
        <v>0</v>
      </c>
      <c r="I357" s="39">
        <f>G357*F357</f>
        <v>0</v>
      </c>
    </row>
    <row r="358" spans="1:9" s="1" customFormat="1" ht="34.5" customHeight="1">
      <c r="A358" s="19" t="s">
        <v>284</v>
      </c>
      <c r="B358" s="66" t="s">
        <v>1176</v>
      </c>
      <c r="C358" s="68"/>
      <c r="D358" s="59">
        <v>500</v>
      </c>
      <c r="E358" s="56">
        <v>1038</v>
      </c>
      <c r="F358" s="48">
        <v>134.9</v>
      </c>
      <c r="G358" s="83"/>
      <c r="H358" s="37">
        <f>E358*G358</f>
        <v>0</v>
      </c>
      <c r="I358" s="39">
        <f>G358*F358</f>
        <v>0</v>
      </c>
    </row>
    <row r="359" spans="1:9" s="1" customFormat="1" ht="34.5" customHeight="1">
      <c r="A359" s="19" t="s">
        <v>285</v>
      </c>
      <c r="B359" s="66" t="s">
        <v>1177</v>
      </c>
      <c r="C359" s="68"/>
      <c r="D359" s="59">
        <v>500</v>
      </c>
      <c r="E359" s="56">
        <v>900</v>
      </c>
      <c r="F359" s="48">
        <v>116.89999999999999</v>
      </c>
      <c r="G359" s="83"/>
      <c r="H359" s="37">
        <f>E359*G359</f>
        <v>0</v>
      </c>
      <c r="I359" s="39">
        <f>G359*F359</f>
        <v>0</v>
      </c>
    </row>
    <row r="360" spans="1:9" s="1" customFormat="1" ht="34.5" customHeight="1">
      <c r="A360" s="19" t="s">
        <v>191</v>
      </c>
      <c r="B360" s="66" t="s">
        <v>1194</v>
      </c>
      <c r="C360" s="68"/>
      <c r="D360" s="59">
        <v>100</v>
      </c>
      <c r="E360" s="56">
        <v>2828</v>
      </c>
      <c r="F360" s="48">
        <v>367.3</v>
      </c>
      <c r="G360" s="83"/>
      <c r="H360" s="37">
        <f>E360*G360</f>
        <v>0</v>
      </c>
      <c r="I360" s="39">
        <f>G360*F360</f>
        <v>0</v>
      </c>
    </row>
    <row r="361" spans="1:9" s="1" customFormat="1" ht="34.5" customHeight="1">
      <c r="A361" s="19" t="s">
        <v>267</v>
      </c>
      <c r="B361" s="66" t="s">
        <v>1021</v>
      </c>
      <c r="C361" s="68"/>
      <c r="D361" s="59">
        <v>200</v>
      </c>
      <c r="E361" s="56">
        <v>6255</v>
      </c>
      <c r="F361" s="48">
        <f>ROUNDUP(E361/7.7,1)</f>
        <v>812.4</v>
      </c>
      <c r="G361" s="83"/>
      <c r="H361" s="37">
        <f>E361*G361</f>
        <v>0</v>
      </c>
      <c r="I361" s="39">
        <f>G361*F361</f>
        <v>0</v>
      </c>
    </row>
    <row r="362" spans="1:9" s="1" customFormat="1" ht="34.5" customHeight="1">
      <c r="A362" s="19" t="s">
        <v>269</v>
      </c>
      <c r="B362" s="66" t="s">
        <v>1189</v>
      </c>
      <c r="C362" s="68" t="s">
        <v>1379</v>
      </c>
      <c r="D362" s="59">
        <v>100</v>
      </c>
      <c r="E362" s="56">
        <v>3728</v>
      </c>
      <c r="F362" s="48">
        <v>484.20000000000005</v>
      </c>
      <c r="G362" s="83"/>
      <c r="H362" s="37">
        <f>E362*G362</f>
        <v>0</v>
      </c>
      <c r="I362" s="39">
        <f>G362*F362</f>
        <v>0</v>
      </c>
    </row>
    <row r="363" spans="1:9" s="1" customFormat="1" ht="34.5" customHeight="1">
      <c r="A363" s="19" t="s">
        <v>268</v>
      </c>
      <c r="B363" s="66" t="s">
        <v>1188</v>
      </c>
      <c r="C363" s="68"/>
      <c r="D363" s="59">
        <v>500</v>
      </c>
      <c r="E363" s="56">
        <v>1998</v>
      </c>
      <c r="F363" s="48">
        <v>259.5</v>
      </c>
      <c r="G363" s="83"/>
      <c r="H363" s="37">
        <f>E363*G363</f>
        <v>0</v>
      </c>
      <c r="I363" s="39">
        <f>G363*F363</f>
        <v>0</v>
      </c>
    </row>
    <row r="364" spans="1:9" s="1" customFormat="1" ht="34.5" customHeight="1">
      <c r="A364" s="19" t="s">
        <v>276</v>
      </c>
      <c r="B364" s="66" t="s">
        <v>1193</v>
      </c>
      <c r="C364" s="68"/>
      <c r="D364" s="59">
        <v>200</v>
      </c>
      <c r="E364" s="56">
        <v>3060</v>
      </c>
      <c r="F364" s="48">
        <f>ROUNDUP(E364/7.7,1)</f>
        <v>397.5</v>
      </c>
      <c r="G364" s="83"/>
      <c r="H364" s="37">
        <f>E364*G364</f>
        <v>0</v>
      </c>
      <c r="I364" s="39">
        <f>G364*F364</f>
        <v>0</v>
      </c>
    </row>
    <row r="365" spans="1:9" s="1" customFormat="1" ht="34.5" customHeight="1">
      <c r="A365" s="19" t="s">
        <v>275</v>
      </c>
      <c r="B365" s="66" t="s">
        <v>1192</v>
      </c>
      <c r="C365" s="68" t="s">
        <v>1379</v>
      </c>
      <c r="D365" s="59">
        <v>200</v>
      </c>
      <c r="E365" s="56">
        <v>2960</v>
      </c>
      <c r="F365" s="48">
        <f>ROUNDUP(E365/7.7,1)</f>
        <v>384.5</v>
      </c>
      <c r="G365" s="83"/>
      <c r="H365" s="37">
        <f>E365*G365</f>
        <v>0</v>
      </c>
      <c r="I365" s="39">
        <f>G365*F365</f>
        <v>0</v>
      </c>
    </row>
    <row r="366" spans="1:9" s="1" customFormat="1" ht="34.5" customHeight="1">
      <c r="A366" s="19" t="s">
        <v>274</v>
      </c>
      <c r="B366" s="66" t="s">
        <v>1191</v>
      </c>
      <c r="C366" s="68"/>
      <c r="D366" s="59">
        <v>500</v>
      </c>
      <c r="E366" s="56">
        <v>2748</v>
      </c>
      <c r="F366" s="48">
        <v>356.90000000000003</v>
      </c>
      <c r="G366" s="83"/>
      <c r="H366" s="37">
        <f>E366*G366</f>
        <v>0</v>
      </c>
      <c r="I366" s="39">
        <f>G366*F366</f>
        <v>0</v>
      </c>
    </row>
    <row r="367" spans="1:9" s="1" customFormat="1" ht="34.5" customHeight="1">
      <c r="A367" s="19" t="s">
        <v>273</v>
      </c>
      <c r="B367" s="66" t="s">
        <v>497</v>
      </c>
      <c r="C367" s="68"/>
      <c r="D367" s="59">
        <v>500</v>
      </c>
      <c r="E367" s="56">
        <v>4798</v>
      </c>
      <c r="F367" s="48">
        <v>623.20000000000005</v>
      </c>
      <c r="G367" s="83"/>
      <c r="H367" s="37">
        <f>E367*G367</f>
        <v>0</v>
      </c>
      <c r="I367" s="39">
        <f>G367*F367</f>
        <v>0</v>
      </c>
    </row>
    <row r="368" spans="1:9" s="1" customFormat="1" ht="34.5" customHeight="1">
      <c r="A368" s="19" t="s">
        <v>270</v>
      </c>
      <c r="B368" s="66" t="s">
        <v>271</v>
      </c>
      <c r="C368" s="68"/>
      <c r="D368" s="59">
        <v>100</v>
      </c>
      <c r="E368" s="56">
        <v>3928</v>
      </c>
      <c r="F368" s="48">
        <v>510.20000000000005</v>
      </c>
      <c r="G368" s="83"/>
      <c r="H368" s="37">
        <f>E368*G368</f>
        <v>0</v>
      </c>
      <c r="I368" s="39">
        <f>G368*F368</f>
        <v>0</v>
      </c>
    </row>
    <row r="369" spans="1:9" s="1" customFormat="1" ht="34.5" customHeight="1">
      <c r="A369" s="19" t="s">
        <v>272</v>
      </c>
      <c r="B369" s="66" t="s">
        <v>1190</v>
      </c>
      <c r="C369" s="68" t="s">
        <v>1380</v>
      </c>
      <c r="D369" s="59">
        <v>500</v>
      </c>
      <c r="E369" s="56">
        <v>3728</v>
      </c>
      <c r="F369" s="48">
        <v>484.20000000000005</v>
      </c>
      <c r="G369" s="83"/>
      <c r="H369" s="37">
        <f>E369*G369</f>
        <v>0</v>
      </c>
      <c r="I369" s="39">
        <f>G369*F369</f>
        <v>0</v>
      </c>
    </row>
    <row r="370" spans="1:9" s="1" customFormat="1" ht="34.5" customHeight="1">
      <c r="A370" s="19" t="s">
        <v>1093</v>
      </c>
      <c r="B370" s="66" t="s">
        <v>1094</v>
      </c>
      <c r="C370" s="68"/>
      <c r="D370" s="59">
        <v>200</v>
      </c>
      <c r="E370" s="56">
        <v>7288</v>
      </c>
      <c r="F370" s="48">
        <v>946.5</v>
      </c>
      <c r="G370" s="83"/>
      <c r="H370" s="37">
        <f>E370*G370</f>
        <v>0</v>
      </c>
      <c r="I370" s="39">
        <f>G370*F370</f>
        <v>0</v>
      </c>
    </row>
    <row r="371" spans="1:9" s="1" customFormat="1" ht="34.5" customHeight="1">
      <c r="A371" s="19" t="s">
        <v>266</v>
      </c>
      <c r="B371" s="66" t="s">
        <v>1020</v>
      </c>
      <c r="C371" s="68"/>
      <c r="D371" s="59">
        <v>300</v>
      </c>
      <c r="E371" s="56">
        <v>5828</v>
      </c>
      <c r="F371" s="48">
        <v>756.9</v>
      </c>
      <c r="G371" s="83"/>
      <c r="H371" s="37">
        <f>E371*G371</f>
        <v>0</v>
      </c>
      <c r="I371" s="39">
        <f>G371*F371</f>
        <v>0</v>
      </c>
    </row>
    <row r="372" spans="1:9" s="1" customFormat="1" ht="34.5" customHeight="1">
      <c r="A372" s="19" t="s">
        <v>575</v>
      </c>
      <c r="B372" s="66" t="s">
        <v>1195</v>
      </c>
      <c r="C372" s="68"/>
      <c r="D372" s="59">
        <v>500</v>
      </c>
      <c r="E372" s="56">
        <v>1888</v>
      </c>
      <c r="F372" s="48">
        <v>245.2</v>
      </c>
      <c r="G372" s="83"/>
      <c r="H372" s="37">
        <f>E372*G372</f>
        <v>0</v>
      </c>
      <c r="I372" s="39">
        <f>G372*F372</f>
        <v>0</v>
      </c>
    </row>
    <row r="373" spans="1:9" s="1" customFormat="1" ht="34.5" customHeight="1">
      <c r="A373" s="19" t="s">
        <v>280</v>
      </c>
      <c r="B373" s="66" t="s">
        <v>281</v>
      </c>
      <c r="C373" s="68"/>
      <c r="D373" s="59">
        <v>300</v>
      </c>
      <c r="E373" s="56">
        <v>2828</v>
      </c>
      <c r="F373" s="48">
        <v>367.3</v>
      </c>
      <c r="G373" s="83"/>
      <c r="H373" s="37">
        <f>E373*G373</f>
        <v>0</v>
      </c>
      <c r="I373" s="39">
        <f>G373*F373</f>
        <v>0</v>
      </c>
    </row>
    <row r="374" spans="1:9" s="1" customFormat="1" ht="34.5" customHeight="1">
      <c r="A374" s="19" t="s">
        <v>278</v>
      </c>
      <c r="B374" s="66" t="s">
        <v>279</v>
      </c>
      <c r="C374" s="68"/>
      <c r="D374" s="59">
        <v>500</v>
      </c>
      <c r="E374" s="56">
        <v>1728</v>
      </c>
      <c r="F374" s="48">
        <v>224.5</v>
      </c>
      <c r="G374" s="83"/>
      <c r="H374" s="37">
        <f>E374*G374</f>
        <v>0</v>
      </c>
      <c r="I374" s="39">
        <f>G374*F374</f>
        <v>0</v>
      </c>
    </row>
    <row r="375" spans="1:9" s="1" customFormat="1" ht="34.5" customHeight="1">
      <c r="A375" s="19" t="s">
        <v>1001</v>
      </c>
      <c r="B375" s="66" t="s">
        <v>277</v>
      </c>
      <c r="C375" s="68"/>
      <c r="D375" s="59">
        <v>200</v>
      </c>
      <c r="E375" s="56">
        <v>3028</v>
      </c>
      <c r="F375" s="48">
        <v>393.3</v>
      </c>
      <c r="G375" s="83"/>
      <c r="H375" s="37">
        <f>E375*G375</f>
        <v>0</v>
      </c>
      <c r="I375" s="39">
        <f>G375*F375</f>
        <v>0</v>
      </c>
    </row>
    <row r="376" spans="1:9" s="1" customFormat="1" ht="34.5" customHeight="1">
      <c r="A376" s="19" t="s">
        <v>1200</v>
      </c>
      <c r="B376" s="66" t="s">
        <v>294</v>
      </c>
      <c r="C376" s="68"/>
      <c r="D376" s="59">
        <v>100</v>
      </c>
      <c r="E376" s="56">
        <v>1728</v>
      </c>
      <c r="F376" s="48">
        <v>224.5</v>
      </c>
      <c r="G376" s="83"/>
      <c r="H376" s="37">
        <f>E376*G376</f>
        <v>0</v>
      </c>
      <c r="I376" s="39">
        <f>G376*F376</f>
        <v>0</v>
      </c>
    </row>
    <row r="377" spans="1:9" s="1" customFormat="1" ht="34.5" customHeight="1">
      <c r="A377" s="19" t="s">
        <v>303</v>
      </c>
      <c r="B377" s="66" t="s">
        <v>304</v>
      </c>
      <c r="C377" s="68"/>
      <c r="D377" s="59">
        <v>500</v>
      </c>
      <c r="E377" s="56">
        <v>345</v>
      </c>
      <c r="F377" s="48">
        <v>44.9</v>
      </c>
      <c r="G377" s="83"/>
      <c r="H377" s="37">
        <f>E377*G377</f>
        <v>0</v>
      </c>
      <c r="I377" s="39">
        <f>G377*F377</f>
        <v>0</v>
      </c>
    </row>
    <row r="378" spans="1:9" s="1" customFormat="1" ht="34.5" customHeight="1">
      <c r="A378" s="19" t="s">
        <v>241</v>
      </c>
      <c r="B378" s="66" t="s">
        <v>1014</v>
      </c>
      <c r="C378" s="68"/>
      <c r="D378" s="59">
        <v>500</v>
      </c>
      <c r="E378" s="56">
        <v>3808</v>
      </c>
      <c r="F378" s="48">
        <v>494.6</v>
      </c>
      <c r="G378" s="83"/>
      <c r="H378" s="37">
        <f>E378*G378</f>
        <v>0</v>
      </c>
      <c r="I378" s="39">
        <f>G378*F378</f>
        <v>0</v>
      </c>
    </row>
    <row r="379" spans="1:9" s="1" customFormat="1" ht="34.5" customHeight="1">
      <c r="A379" s="19" t="s">
        <v>249</v>
      </c>
      <c r="B379" s="66" t="s">
        <v>1171</v>
      </c>
      <c r="C379" s="68"/>
      <c r="D379" s="59">
        <v>900</v>
      </c>
      <c r="E379" s="56">
        <v>1928</v>
      </c>
      <c r="F379" s="48">
        <v>250.4</v>
      </c>
      <c r="G379" s="83"/>
      <c r="H379" s="37">
        <f>E379*G379</f>
        <v>0</v>
      </c>
      <c r="I379" s="39">
        <f>G379*F379</f>
        <v>0</v>
      </c>
    </row>
    <row r="380" spans="1:9" s="1" customFormat="1" ht="34.5" customHeight="1">
      <c r="A380" s="19" t="s">
        <v>286</v>
      </c>
      <c r="B380" s="66" t="s">
        <v>1179</v>
      </c>
      <c r="C380" s="68"/>
      <c r="D380" s="59">
        <v>500</v>
      </c>
      <c r="E380" s="56">
        <v>890</v>
      </c>
      <c r="F380" s="48">
        <v>115.6</v>
      </c>
      <c r="G380" s="83"/>
      <c r="H380" s="37">
        <f>E380*G380</f>
        <v>0</v>
      </c>
      <c r="I380" s="39">
        <f>G380*F380</f>
        <v>0</v>
      </c>
    </row>
    <row r="381" spans="1:9" s="1" customFormat="1" ht="34.5" customHeight="1">
      <c r="A381" s="19" t="s">
        <v>250</v>
      </c>
      <c r="B381" s="66" t="s">
        <v>1172</v>
      </c>
      <c r="C381" s="68"/>
      <c r="D381" s="59">
        <v>500</v>
      </c>
      <c r="E381" s="56">
        <v>890</v>
      </c>
      <c r="F381" s="48">
        <v>115.6</v>
      </c>
      <c r="G381" s="83"/>
      <c r="H381" s="37">
        <f>E381*G381</f>
        <v>0</v>
      </c>
      <c r="I381" s="39">
        <f>G381*F381</f>
        <v>0</v>
      </c>
    </row>
    <row r="382" spans="1:9" s="1" customFormat="1" ht="34.5" customHeight="1">
      <c r="A382" s="19" t="s">
        <v>251</v>
      </c>
      <c r="B382" s="66" t="s">
        <v>1173</v>
      </c>
      <c r="C382" s="68"/>
      <c r="D382" s="59">
        <v>100</v>
      </c>
      <c r="E382" s="56">
        <v>1048</v>
      </c>
      <c r="F382" s="48">
        <v>136.19999999999999</v>
      </c>
      <c r="G382" s="83"/>
      <c r="H382" s="37">
        <f>E382*G382</f>
        <v>0</v>
      </c>
      <c r="I382" s="39">
        <f>G382*F382</f>
        <v>0</v>
      </c>
    </row>
    <row r="383" spans="1:9" s="1" customFormat="1" ht="34.5" customHeight="1">
      <c r="A383" s="19" t="s">
        <v>252</v>
      </c>
      <c r="B383" s="66" t="s">
        <v>1174</v>
      </c>
      <c r="C383" s="68"/>
      <c r="D383" s="59">
        <v>500</v>
      </c>
      <c r="E383" s="56">
        <v>895</v>
      </c>
      <c r="F383" s="48">
        <v>116.3</v>
      </c>
      <c r="G383" s="83"/>
      <c r="H383" s="37">
        <f>E383*G383</f>
        <v>0</v>
      </c>
      <c r="I383" s="39">
        <f>G383*F383</f>
        <v>0</v>
      </c>
    </row>
    <row r="384" spans="1:9" s="1" customFormat="1" ht="34.5" customHeight="1">
      <c r="A384" s="19" t="s">
        <v>253</v>
      </c>
      <c r="B384" s="66" t="s">
        <v>1175</v>
      </c>
      <c r="C384" s="68"/>
      <c r="D384" s="59">
        <v>1200</v>
      </c>
      <c r="E384" s="56">
        <v>850</v>
      </c>
      <c r="F384" s="48">
        <v>110.39999999999999</v>
      </c>
      <c r="G384" s="83"/>
      <c r="H384" s="37">
        <f>E384*G384</f>
        <v>0</v>
      </c>
      <c r="I384" s="39">
        <f>G384*F384</f>
        <v>0</v>
      </c>
    </row>
    <row r="385" spans="1:9" s="1" customFormat="1" ht="34.5" customHeight="1">
      <c r="A385" s="19" t="s">
        <v>254</v>
      </c>
      <c r="B385" s="66" t="s">
        <v>1180</v>
      </c>
      <c r="C385" s="68"/>
      <c r="D385" s="59">
        <v>100</v>
      </c>
      <c r="E385" s="56">
        <v>880</v>
      </c>
      <c r="F385" s="48">
        <v>114.3</v>
      </c>
      <c r="G385" s="83"/>
      <c r="H385" s="37">
        <f>E385*G385</f>
        <v>0</v>
      </c>
      <c r="I385" s="39">
        <f>G385*F385</f>
        <v>0</v>
      </c>
    </row>
    <row r="386" spans="1:9" s="1" customFormat="1" ht="34.5" customHeight="1">
      <c r="A386" s="19" t="s">
        <v>245</v>
      </c>
      <c r="B386" s="66" t="s">
        <v>1170</v>
      </c>
      <c r="C386" s="68"/>
      <c r="D386" s="59">
        <v>1000</v>
      </c>
      <c r="E386" s="56">
        <v>1558</v>
      </c>
      <c r="F386" s="48">
        <v>202.4</v>
      </c>
      <c r="G386" s="83"/>
      <c r="H386" s="37">
        <f>E386*G386</f>
        <v>0</v>
      </c>
      <c r="I386" s="39">
        <f>G386*F386</f>
        <v>0</v>
      </c>
    </row>
    <row r="387" spans="1:9" s="1" customFormat="1" ht="34.5" customHeight="1">
      <c r="A387" s="19" t="s">
        <v>246</v>
      </c>
      <c r="B387" s="66" t="s">
        <v>247</v>
      </c>
      <c r="C387" s="68"/>
      <c r="D387" s="59">
        <v>1000</v>
      </c>
      <c r="E387" s="56">
        <v>455</v>
      </c>
      <c r="F387" s="48">
        <v>59.1</v>
      </c>
      <c r="G387" s="83"/>
      <c r="H387" s="37">
        <f>E387*G387</f>
        <v>0</v>
      </c>
      <c r="I387" s="39">
        <f>G387*F387</f>
        <v>0</v>
      </c>
    </row>
    <row r="388" spans="1:9" s="1" customFormat="1" ht="34.5" customHeight="1">
      <c r="A388" s="19" t="s">
        <v>265</v>
      </c>
      <c r="B388" s="66" t="s">
        <v>1187</v>
      </c>
      <c r="C388" s="68"/>
      <c r="D388" s="59">
        <v>1000</v>
      </c>
      <c r="E388" s="56">
        <v>1408</v>
      </c>
      <c r="F388" s="48">
        <v>182.9</v>
      </c>
      <c r="G388" s="83"/>
      <c r="H388" s="37">
        <f>E388*G388</f>
        <v>0</v>
      </c>
      <c r="I388" s="39">
        <f>G388*F388</f>
        <v>0</v>
      </c>
    </row>
    <row r="389" spans="1:9" s="1" customFormat="1" ht="34.5" customHeight="1">
      <c r="A389" s="19" t="s">
        <v>242</v>
      </c>
      <c r="B389" s="66" t="s">
        <v>1015</v>
      </c>
      <c r="C389" s="68"/>
      <c r="D389" s="59">
        <v>600</v>
      </c>
      <c r="E389" s="56">
        <v>4928</v>
      </c>
      <c r="F389" s="48">
        <v>640</v>
      </c>
      <c r="G389" s="83"/>
      <c r="H389" s="37">
        <f>E389*G389</f>
        <v>0</v>
      </c>
      <c r="I389" s="39">
        <f>G389*F389</f>
        <v>0</v>
      </c>
    </row>
    <row r="390" spans="1:9" s="1" customFormat="1" ht="34.5" customHeight="1">
      <c r="A390" s="19" t="s">
        <v>262</v>
      </c>
      <c r="B390" s="66" t="s">
        <v>1185</v>
      </c>
      <c r="C390" s="68"/>
      <c r="D390" s="59">
        <v>100</v>
      </c>
      <c r="E390" s="56">
        <v>1258</v>
      </c>
      <c r="F390" s="48">
        <v>163.4</v>
      </c>
      <c r="G390" s="83"/>
      <c r="H390" s="37">
        <f>E390*G390</f>
        <v>0</v>
      </c>
      <c r="I390" s="39">
        <f>G390*F390</f>
        <v>0</v>
      </c>
    </row>
    <row r="391" spans="1:9" s="1" customFormat="1" ht="34.5" customHeight="1">
      <c r="A391" s="19" t="s">
        <v>244</v>
      </c>
      <c r="B391" s="66" t="s">
        <v>1169</v>
      </c>
      <c r="C391" s="68"/>
      <c r="D391" s="59">
        <v>500</v>
      </c>
      <c r="E391" s="56">
        <v>1878</v>
      </c>
      <c r="F391" s="48">
        <v>243.9</v>
      </c>
      <c r="G391" s="83"/>
      <c r="H391" s="37">
        <f>E391*G391</f>
        <v>0</v>
      </c>
      <c r="I391" s="39">
        <f>G391*F391</f>
        <v>0</v>
      </c>
    </row>
    <row r="392" spans="1:9" s="1" customFormat="1" ht="34.5" customHeight="1">
      <c r="A392" s="19" t="s">
        <v>248</v>
      </c>
      <c r="B392" s="66" t="s">
        <v>495</v>
      </c>
      <c r="C392" s="68"/>
      <c r="D392" s="59">
        <v>1000</v>
      </c>
      <c r="E392" s="56">
        <v>2678</v>
      </c>
      <c r="F392" s="48">
        <v>347.8</v>
      </c>
      <c r="G392" s="83"/>
      <c r="H392" s="37">
        <f>E392*G392</f>
        <v>0</v>
      </c>
      <c r="I392" s="39">
        <f>G392*F392</f>
        <v>0</v>
      </c>
    </row>
    <row r="393" spans="1:9" s="1" customFormat="1" ht="34.5" customHeight="1">
      <c r="A393" s="19" t="s">
        <v>243</v>
      </c>
      <c r="B393" s="66" t="s">
        <v>1016</v>
      </c>
      <c r="C393" s="68"/>
      <c r="D393" s="59">
        <v>400</v>
      </c>
      <c r="E393" s="56">
        <v>5628</v>
      </c>
      <c r="F393" s="48">
        <v>731</v>
      </c>
      <c r="G393" s="83"/>
      <c r="H393" s="37">
        <f>E393*G393</f>
        <v>0</v>
      </c>
      <c r="I393" s="39">
        <f>G393*F393</f>
        <v>0</v>
      </c>
    </row>
    <row r="394" spans="1:9" s="1" customFormat="1" ht="34.5" customHeight="1">
      <c r="A394" s="19" t="s">
        <v>1092</v>
      </c>
      <c r="B394" s="66" t="s">
        <v>1017</v>
      </c>
      <c r="C394" s="68"/>
      <c r="D394" s="59">
        <v>500</v>
      </c>
      <c r="E394" s="56">
        <v>3028</v>
      </c>
      <c r="F394" s="48">
        <v>393.3</v>
      </c>
      <c r="G394" s="83"/>
      <c r="H394" s="37">
        <f>E394*G394</f>
        <v>0</v>
      </c>
      <c r="I394" s="39">
        <f>G394*F394</f>
        <v>0</v>
      </c>
    </row>
    <row r="395" spans="1:9" s="1" customFormat="1" ht="34.5" customHeight="1">
      <c r="A395" s="19" t="s">
        <v>299</v>
      </c>
      <c r="B395" s="66" t="s">
        <v>300</v>
      </c>
      <c r="C395" s="68"/>
      <c r="D395" s="59">
        <v>300</v>
      </c>
      <c r="E395" s="56">
        <v>5498</v>
      </c>
      <c r="F395" s="48">
        <v>714.1</v>
      </c>
      <c r="G395" s="83"/>
      <c r="H395" s="37">
        <f>E395*G395</f>
        <v>0</v>
      </c>
      <c r="I395" s="39">
        <f>G395*F395</f>
        <v>0</v>
      </c>
    </row>
    <row r="396" spans="1:9" s="1" customFormat="1" ht="34.5" customHeight="1">
      <c r="A396" s="19" t="s">
        <v>496</v>
      </c>
      <c r="B396" s="66" t="s">
        <v>1183</v>
      </c>
      <c r="C396" s="68"/>
      <c r="D396" s="59">
        <v>200</v>
      </c>
      <c r="E396" s="56">
        <v>1648</v>
      </c>
      <c r="F396" s="48">
        <v>214.1</v>
      </c>
      <c r="G396" s="83"/>
      <c r="H396" s="37">
        <f>E396*G396</f>
        <v>0</v>
      </c>
      <c r="I396" s="39">
        <f>G396*F396</f>
        <v>0</v>
      </c>
    </row>
    <row r="397" spans="1:9" s="1" customFormat="1" ht="34.5" customHeight="1">
      <c r="A397" s="19" t="s">
        <v>259</v>
      </c>
      <c r="B397" s="66" t="s">
        <v>260</v>
      </c>
      <c r="C397" s="68"/>
      <c r="D397" s="59">
        <v>500</v>
      </c>
      <c r="E397" s="56">
        <v>2628</v>
      </c>
      <c r="F397" s="48">
        <v>341.3</v>
      </c>
      <c r="G397" s="83"/>
      <c r="H397" s="37">
        <f>E397*G397</f>
        <v>0</v>
      </c>
      <c r="I397" s="39">
        <f>G397*F397</f>
        <v>0</v>
      </c>
    </row>
    <row r="398" spans="1:9" s="1" customFormat="1" ht="34.5" customHeight="1">
      <c r="A398" s="19" t="s">
        <v>261</v>
      </c>
      <c r="B398" s="66" t="s">
        <v>1184</v>
      </c>
      <c r="C398" s="68"/>
      <c r="D398" s="59">
        <v>200</v>
      </c>
      <c r="E398" s="56">
        <v>1718</v>
      </c>
      <c r="F398" s="48">
        <v>223.2</v>
      </c>
      <c r="G398" s="83"/>
      <c r="H398" s="37">
        <f>E398*G398</f>
        <v>0</v>
      </c>
      <c r="I398" s="39">
        <f>G398*F398</f>
        <v>0</v>
      </c>
    </row>
    <row r="399" spans="1:9" s="1" customFormat="1" ht="34.5" customHeight="1">
      <c r="A399" s="19" t="s">
        <v>1113</v>
      </c>
      <c r="B399" s="66" t="s">
        <v>1018</v>
      </c>
      <c r="C399" s="68"/>
      <c r="D399" s="59">
        <v>500</v>
      </c>
      <c r="E399" s="56">
        <v>1148</v>
      </c>
      <c r="F399" s="48">
        <v>149.1</v>
      </c>
      <c r="G399" s="83"/>
      <c r="H399" s="37">
        <f>E399*G399</f>
        <v>0</v>
      </c>
      <c r="I399" s="39">
        <f>G399*F399</f>
        <v>0</v>
      </c>
    </row>
    <row r="400" spans="1:9" s="1" customFormat="1" ht="34.5" customHeight="1">
      <c r="A400" s="19" t="s">
        <v>263</v>
      </c>
      <c r="B400" s="66" t="s">
        <v>1186</v>
      </c>
      <c r="C400" s="68"/>
      <c r="D400" s="59">
        <v>200</v>
      </c>
      <c r="E400" s="56">
        <v>1298</v>
      </c>
      <c r="F400" s="48">
        <f>ROUNDUP(E400/7.7,1)</f>
        <v>168.6</v>
      </c>
      <c r="G400" s="83"/>
      <c r="H400" s="37">
        <f>E400*G400</f>
        <v>0</v>
      </c>
      <c r="I400" s="39">
        <f>G400*F400</f>
        <v>0</v>
      </c>
    </row>
    <row r="401" spans="1:9" s="1" customFormat="1" ht="34.5" customHeight="1">
      <c r="A401" s="19" t="s">
        <v>255</v>
      </c>
      <c r="B401" s="66" t="s">
        <v>1181</v>
      </c>
      <c r="C401" s="68"/>
      <c r="D401" s="59">
        <v>200</v>
      </c>
      <c r="E401" s="56">
        <v>1928</v>
      </c>
      <c r="F401" s="48">
        <v>250.4</v>
      </c>
      <c r="G401" s="83"/>
      <c r="H401" s="37">
        <f>E401*G401</f>
        <v>0</v>
      </c>
      <c r="I401" s="39">
        <f>G401*F401</f>
        <v>0</v>
      </c>
    </row>
    <row r="402" spans="1:9" s="1" customFormat="1" ht="34.5" customHeight="1">
      <c r="A402" s="19" t="s">
        <v>282</v>
      </c>
      <c r="B402" s="66" t="s">
        <v>1022</v>
      </c>
      <c r="C402" s="68"/>
      <c r="D402" s="59">
        <v>1200</v>
      </c>
      <c r="E402" s="56">
        <v>3248</v>
      </c>
      <c r="F402" s="48">
        <v>421.90000000000003</v>
      </c>
      <c r="G402" s="83"/>
      <c r="H402" s="37">
        <f>E402*G402</f>
        <v>0</v>
      </c>
      <c r="I402" s="39">
        <f>G402*F402</f>
        <v>0</v>
      </c>
    </row>
    <row r="403" spans="1:9" s="1" customFormat="1" ht="34.5" customHeight="1">
      <c r="A403" s="19" t="s">
        <v>288</v>
      </c>
      <c r="B403" s="66" t="s">
        <v>1023</v>
      </c>
      <c r="C403" s="68"/>
      <c r="D403" s="59">
        <v>200</v>
      </c>
      <c r="E403" s="56">
        <v>1960</v>
      </c>
      <c r="F403" s="48">
        <f>ROUNDUP(E403/7.7,1)</f>
        <v>254.6</v>
      </c>
      <c r="G403" s="83"/>
      <c r="H403" s="37">
        <f>E403*G403</f>
        <v>0</v>
      </c>
      <c r="I403" s="39">
        <f>G403*F403</f>
        <v>0</v>
      </c>
    </row>
    <row r="404" spans="1:9" s="1" customFormat="1" ht="34.5" customHeight="1">
      <c r="A404" s="19" t="s">
        <v>256</v>
      </c>
      <c r="B404" s="66" t="s">
        <v>257</v>
      </c>
      <c r="C404" s="68"/>
      <c r="D404" s="59">
        <v>500</v>
      </c>
      <c r="E404" s="56">
        <v>525</v>
      </c>
      <c r="F404" s="48">
        <v>68.199999999999989</v>
      </c>
      <c r="G404" s="83"/>
      <c r="H404" s="37">
        <f>E404*G404</f>
        <v>0</v>
      </c>
      <c r="I404" s="39">
        <f>G404*F404</f>
        <v>0</v>
      </c>
    </row>
    <row r="405" spans="1:9" s="1" customFormat="1" ht="34.5" customHeight="1">
      <c r="A405" s="19" t="s">
        <v>301</v>
      </c>
      <c r="B405" s="66" t="s">
        <v>302</v>
      </c>
      <c r="C405" s="68"/>
      <c r="D405" s="59">
        <v>500</v>
      </c>
      <c r="E405" s="56">
        <v>580</v>
      </c>
      <c r="F405" s="48">
        <v>75.399999999999991</v>
      </c>
      <c r="G405" s="83"/>
      <c r="H405" s="37">
        <f>E405*G405</f>
        <v>0</v>
      </c>
      <c r="I405" s="39">
        <f>G405*F405</f>
        <v>0</v>
      </c>
    </row>
    <row r="406" spans="1:9" s="1" customFormat="1" ht="34.5" customHeight="1">
      <c r="A406" s="19" t="s">
        <v>179</v>
      </c>
      <c r="B406" s="66" t="s">
        <v>493</v>
      </c>
      <c r="C406" s="68"/>
      <c r="D406" s="59">
        <v>200</v>
      </c>
      <c r="E406" s="56">
        <v>1328</v>
      </c>
      <c r="F406" s="48">
        <v>172.5</v>
      </c>
      <c r="G406" s="83"/>
      <c r="H406" s="37">
        <f>E406*G406</f>
        <v>0</v>
      </c>
      <c r="I406" s="39">
        <f>G406*F406</f>
        <v>0</v>
      </c>
    </row>
    <row r="407" spans="1:9" s="1" customFormat="1" ht="34.5" customHeight="1">
      <c r="A407" s="19" t="s">
        <v>922</v>
      </c>
      <c r="B407" s="66" t="s">
        <v>1168</v>
      </c>
      <c r="C407" s="68"/>
      <c r="D407" s="59">
        <v>300</v>
      </c>
      <c r="E407" s="56">
        <v>1358</v>
      </c>
      <c r="F407" s="48">
        <v>176.4</v>
      </c>
      <c r="G407" s="83"/>
      <c r="H407" s="37">
        <f>E407*G407</f>
        <v>0</v>
      </c>
      <c r="I407" s="39">
        <f>G407*F407</f>
        <v>0</v>
      </c>
    </row>
    <row r="408" spans="1:9" s="1" customFormat="1" ht="34.5" customHeight="1">
      <c r="A408" s="19" t="s">
        <v>264</v>
      </c>
      <c r="B408" s="66" t="s">
        <v>1019</v>
      </c>
      <c r="C408" s="68"/>
      <c r="D408" s="59">
        <v>100</v>
      </c>
      <c r="E408" s="56">
        <v>1935</v>
      </c>
      <c r="F408" s="48">
        <f>ROUNDUP(E408/7.7,1)</f>
        <v>251.29999999999998</v>
      </c>
      <c r="G408" s="83"/>
      <c r="H408" s="37">
        <f>E408*G408</f>
        <v>0</v>
      </c>
      <c r="I408" s="39">
        <f>G408*F408</f>
        <v>0</v>
      </c>
    </row>
    <row r="409" spans="1:9" s="1" customFormat="1" ht="34.5" customHeight="1">
      <c r="A409" s="19" t="s">
        <v>1090</v>
      </c>
      <c r="B409" s="66" t="s">
        <v>1091</v>
      </c>
      <c r="C409" s="68"/>
      <c r="D409" s="59">
        <v>300</v>
      </c>
      <c r="E409" s="56">
        <v>2628</v>
      </c>
      <c r="F409" s="48">
        <v>341.3</v>
      </c>
      <c r="G409" s="83"/>
      <c r="H409" s="37">
        <f>E409*G409</f>
        <v>0</v>
      </c>
      <c r="I409" s="39">
        <f>G409*F409</f>
        <v>0</v>
      </c>
    </row>
    <row r="410" spans="1:9" s="1" customFormat="1" ht="34.5" customHeight="1">
      <c r="A410" s="19" t="s">
        <v>909</v>
      </c>
      <c r="B410" s="66" t="s">
        <v>910</v>
      </c>
      <c r="C410" s="68"/>
      <c r="D410" s="59">
        <v>100</v>
      </c>
      <c r="E410" s="56">
        <v>1328</v>
      </c>
      <c r="F410" s="48">
        <v>172.5</v>
      </c>
      <c r="G410" s="83"/>
      <c r="H410" s="37">
        <f>E410*G410</f>
        <v>0</v>
      </c>
      <c r="I410" s="39">
        <f>G410*F410</f>
        <v>0</v>
      </c>
    </row>
    <row r="411" spans="1:9" s="1" customFormat="1" ht="34.5" customHeight="1">
      <c r="A411" s="19" t="s">
        <v>911</v>
      </c>
      <c r="B411" s="66" t="s">
        <v>912</v>
      </c>
      <c r="C411" s="68"/>
      <c r="D411" s="59">
        <v>100</v>
      </c>
      <c r="E411" s="56">
        <v>1408</v>
      </c>
      <c r="F411" s="48">
        <v>182.9</v>
      </c>
      <c r="G411" s="83"/>
      <c r="H411" s="37">
        <f>E411*G411</f>
        <v>0</v>
      </c>
      <c r="I411" s="39">
        <f>G411*F411</f>
        <v>0</v>
      </c>
    </row>
    <row r="412" spans="1:9" s="1" customFormat="1" ht="34.5" customHeight="1">
      <c r="A412" s="19" t="s">
        <v>237</v>
      </c>
      <c r="B412" s="66" t="s">
        <v>492</v>
      </c>
      <c r="C412" s="68"/>
      <c r="D412" s="59">
        <v>500</v>
      </c>
      <c r="E412" s="56">
        <v>2178</v>
      </c>
      <c r="F412" s="48">
        <v>282.90000000000003</v>
      </c>
      <c r="G412" s="83"/>
      <c r="H412" s="37">
        <f>E412*G412</f>
        <v>0</v>
      </c>
      <c r="I412" s="39">
        <f>G412*F412</f>
        <v>0</v>
      </c>
    </row>
    <row r="413" spans="1:9" s="1" customFormat="1" ht="34.5" customHeight="1">
      <c r="A413" s="19" t="s">
        <v>682</v>
      </c>
      <c r="B413" s="66" t="s">
        <v>683</v>
      </c>
      <c r="C413" s="68"/>
      <c r="D413" s="59">
        <v>300</v>
      </c>
      <c r="E413" s="56">
        <v>114</v>
      </c>
      <c r="F413" s="48">
        <v>14.9</v>
      </c>
      <c r="G413" s="83"/>
      <c r="H413" s="37">
        <f>E413*G413</f>
        <v>0</v>
      </c>
      <c r="I413" s="39">
        <f>G413*F413</f>
        <v>0</v>
      </c>
    </row>
    <row r="414" spans="1:9" s="1" customFormat="1" ht="34.5" customHeight="1">
      <c r="A414" s="19" t="s">
        <v>1204</v>
      </c>
      <c r="B414" s="66" t="s">
        <v>1205</v>
      </c>
      <c r="C414" s="68"/>
      <c r="D414" s="59">
        <v>1000</v>
      </c>
      <c r="E414" s="56">
        <v>1988</v>
      </c>
      <c r="F414" s="48">
        <v>258.20000000000005</v>
      </c>
      <c r="G414" s="83"/>
      <c r="H414" s="37">
        <f>E414*G414</f>
        <v>0</v>
      </c>
      <c r="I414" s="39">
        <f>G414*F414</f>
        <v>0</v>
      </c>
    </row>
    <row r="415" spans="1:9" s="1" customFormat="1" ht="34.5" customHeight="1">
      <c r="A415" s="19" t="s">
        <v>318</v>
      </c>
      <c r="B415" s="66" t="s">
        <v>507</v>
      </c>
      <c r="C415" s="68"/>
      <c r="D415" s="59">
        <v>2000</v>
      </c>
      <c r="E415" s="56">
        <v>408</v>
      </c>
      <c r="F415" s="48">
        <v>53</v>
      </c>
      <c r="G415" s="83"/>
      <c r="H415" s="37">
        <f>E415*G415</f>
        <v>0</v>
      </c>
      <c r="I415" s="39">
        <f>G415*F415</f>
        <v>0</v>
      </c>
    </row>
    <row r="416" spans="1:9" s="1" customFormat="1" ht="34.5" customHeight="1">
      <c r="A416" s="19" t="s">
        <v>316</v>
      </c>
      <c r="B416" s="66" t="s">
        <v>317</v>
      </c>
      <c r="C416" s="68"/>
      <c r="D416" s="59">
        <v>1000</v>
      </c>
      <c r="E416" s="56">
        <v>395</v>
      </c>
      <c r="F416" s="48">
        <v>51.300000000000004</v>
      </c>
      <c r="G416" s="83"/>
      <c r="H416" s="37">
        <f>E416*G416</f>
        <v>0</v>
      </c>
      <c r="I416" s="39">
        <f>G416*F416</f>
        <v>0</v>
      </c>
    </row>
    <row r="417" spans="1:9" s="1" customFormat="1" ht="34.5" customHeight="1">
      <c r="A417" s="19" t="s">
        <v>321</v>
      </c>
      <c r="B417" s="66" t="s">
        <v>322</v>
      </c>
      <c r="C417" s="68"/>
      <c r="D417" s="59">
        <v>1000</v>
      </c>
      <c r="E417" s="56">
        <v>435</v>
      </c>
      <c r="F417" s="48">
        <v>56.5</v>
      </c>
      <c r="G417" s="83"/>
      <c r="H417" s="37">
        <f>E417*G417</f>
        <v>0</v>
      </c>
      <c r="I417" s="39">
        <f>G417*F417</f>
        <v>0</v>
      </c>
    </row>
    <row r="418" spans="1:9" s="1" customFormat="1" ht="34.5" customHeight="1">
      <c r="A418" s="19" t="s">
        <v>540</v>
      </c>
      <c r="B418" s="66" t="s">
        <v>541</v>
      </c>
      <c r="C418" s="68" t="s">
        <v>1379</v>
      </c>
      <c r="D418" s="59">
        <v>100</v>
      </c>
      <c r="E418" s="56">
        <v>520</v>
      </c>
      <c r="F418" s="48">
        <v>67.599999999999994</v>
      </c>
      <c r="G418" s="83"/>
      <c r="H418" s="37">
        <f>E418*G418</f>
        <v>0</v>
      </c>
      <c r="I418" s="39">
        <f>G418*F418</f>
        <v>0</v>
      </c>
    </row>
    <row r="419" spans="1:9" s="1" customFormat="1" ht="34.5" customHeight="1">
      <c r="A419" s="19" t="s">
        <v>1346</v>
      </c>
      <c r="B419" s="66" t="s">
        <v>1347</v>
      </c>
      <c r="C419" s="68"/>
      <c r="D419" s="59">
        <v>1000</v>
      </c>
      <c r="E419" s="56">
        <v>298</v>
      </c>
      <c r="F419" s="48">
        <v>38.800000000000004</v>
      </c>
      <c r="G419" s="83"/>
      <c r="H419" s="37">
        <f>E419*G419</f>
        <v>0</v>
      </c>
      <c r="I419" s="39">
        <f>G419*F419</f>
        <v>0</v>
      </c>
    </row>
    <row r="420" spans="1:9" s="1" customFormat="1" ht="34.5" customHeight="1">
      <c r="A420" s="19" t="s">
        <v>1116</v>
      </c>
      <c r="B420" s="66" t="s">
        <v>1132</v>
      </c>
      <c r="C420" s="68"/>
      <c r="D420" s="59">
        <v>800</v>
      </c>
      <c r="E420" s="56">
        <v>670</v>
      </c>
      <c r="F420" s="48">
        <v>87.1</v>
      </c>
      <c r="G420" s="83"/>
      <c r="H420" s="37">
        <f>E420*G420</f>
        <v>0</v>
      </c>
      <c r="I420" s="39">
        <f>G420*F420</f>
        <v>0</v>
      </c>
    </row>
    <row r="421" spans="1:9" s="1" customFormat="1" ht="34.5" customHeight="1">
      <c r="A421" s="19" t="s">
        <v>1050</v>
      </c>
      <c r="B421" s="66" t="s">
        <v>1051</v>
      </c>
      <c r="C421" s="68"/>
      <c r="D421" s="59">
        <v>300</v>
      </c>
      <c r="E421" s="56">
        <v>725</v>
      </c>
      <c r="F421" s="48">
        <v>94.199999999999989</v>
      </c>
      <c r="G421" s="83"/>
      <c r="H421" s="37">
        <f>E421*G421</f>
        <v>0</v>
      </c>
      <c r="I421" s="39">
        <f>G421*F421</f>
        <v>0</v>
      </c>
    </row>
    <row r="422" spans="1:9" s="1" customFormat="1" ht="34.5" customHeight="1">
      <c r="A422" s="19" t="s">
        <v>312</v>
      </c>
      <c r="B422" s="66" t="s">
        <v>313</v>
      </c>
      <c r="C422" s="68"/>
      <c r="D422" s="59">
        <v>1000</v>
      </c>
      <c r="E422" s="56">
        <v>170</v>
      </c>
      <c r="F422" s="48">
        <v>22.1</v>
      </c>
      <c r="G422" s="83"/>
      <c r="H422" s="37">
        <f>E422*G422</f>
        <v>0</v>
      </c>
      <c r="I422" s="39">
        <f>G422*F422</f>
        <v>0</v>
      </c>
    </row>
    <row r="423" spans="1:9" s="1" customFormat="1" ht="34.5" customHeight="1">
      <c r="A423" s="19" t="s">
        <v>319</v>
      </c>
      <c r="B423" s="66" t="s">
        <v>320</v>
      </c>
      <c r="C423" s="68"/>
      <c r="D423" s="59">
        <v>1000</v>
      </c>
      <c r="E423" s="56">
        <v>168</v>
      </c>
      <c r="F423" s="48">
        <v>21.900000000000002</v>
      </c>
      <c r="G423" s="83"/>
      <c r="H423" s="37">
        <f>E423*G423</f>
        <v>0</v>
      </c>
      <c r="I423" s="39">
        <f>G423*F423</f>
        <v>0</v>
      </c>
    </row>
    <row r="424" spans="1:9" s="1" customFormat="1" ht="34.5" customHeight="1">
      <c r="A424" s="19" t="s">
        <v>1315</v>
      </c>
      <c r="B424" s="66" t="s">
        <v>1316</v>
      </c>
      <c r="C424" s="68"/>
      <c r="D424" s="59">
        <v>300</v>
      </c>
      <c r="E424" s="56">
        <v>198</v>
      </c>
      <c r="F424" s="48">
        <v>25.8</v>
      </c>
      <c r="G424" s="83"/>
      <c r="H424" s="37">
        <f>E424*G424</f>
        <v>0</v>
      </c>
      <c r="I424" s="39">
        <f>G424*F424</f>
        <v>0</v>
      </c>
    </row>
    <row r="425" spans="1:9" s="1" customFormat="1" ht="34.5" customHeight="1">
      <c r="A425" s="19" t="s">
        <v>993</v>
      </c>
      <c r="B425" s="66" t="s">
        <v>994</v>
      </c>
      <c r="C425" s="68"/>
      <c r="D425" s="59">
        <v>300</v>
      </c>
      <c r="E425" s="56">
        <v>590</v>
      </c>
      <c r="F425" s="48">
        <v>76.699999999999989</v>
      </c>
      <c r="G425" s="83"/>
      <c r="H425" s="37">
        <f>E425*G425</f>
        <v>0</v>
      </c>
      <c r="I425" s="39">
        <f>G425*F425</f>
        <v>0</v>
      </c>
    </row>
    <row r="426" spans="1:9" s="1" customFormat="1" ht="34.5" customHeight="1">
      <c r="A426" s="19" t="s">
        <v>1280</v>
      </c>
      <c r="B426" s="66" t="s">
        <v>1281</v>
      </c>
      <c r="C426" s="68"/>
      <c r="D426" s="59">
        <v>10</v>
      </c>
      <c r="E426" s="56">
        <v>232</v>
      </c>
      <c r="F426" s="48">
        <v>30.200000000000003</v>
      </c>
      <c r="G426" s="83"/>
      <c r="H426" s="37">
        <f>E426*G426</f>
        <v>0</v>
      </c>
      <c r="I426" s="39">
        <f>G426*F426</f>
        <v>0</v>
      </c>
    </row>
    <row r="427" spans="1:9" s="1" customFormat="1" ht="34.5" customHeight="1">
      <c r="A427" s="19" t="s">
        <v>314</v>
      </c>
      <c r="B427" s="66" t="s">
        <v>315</v>
      </c>
      <c r="C427" s="68"/>
      <c r="D427" s="59">
        <v>100</v>
      </c>
      <c r="E427" s="56">
        <v>170</v>
      </c>
      <c r="F427" s="48">
        <v>22.1</v>
      </c>
      <c r="G427" s="83"/>
      <c r="H427" s="37">
        <f>E427*G427</f>
        <v>0</v>
      </c>
      <c r="I427" s="39">
        <f>G427*F427</f>
        <v>0</v>
      </c>
    </row>
    <row r="428" spans="1:9" s="1" customFormat="1" ht="34.5" customHeight="1">
      <c r="A428" s="19" t="s">
        <v>893</v>
      </c>
      <c r="B428" s="66" t="s">
        <v>894</v>
      </c>
      <c r="C428" s="68"/>
      <c r="D428" s="59">
        <v>420</v>
      </c>
      <c r="E428" s="56">
        <v>235</v>
      </c>
      <c r="F428" s="48">
        <v>30.6</v>
      </c>
      <c r="G428" s="83"/>
      <c r="H428" s="37">
        <f>E428*G428</f>
        <v>0</v>
      </c>
      <c r="I428" s="39">
        <f>G428*F428</f>
        <v>0</v>
      </c>
    </row>
    <row r="429" spans="1:9" s="1" customFormat="1" ht="34.5" customHeight="1">
      <c r="A429" s="19" t="s">
        <v>1202</v>
      </c>
      <c r="B429" s="66" t="s">
        <v>1203</v>
      </c>
      <c r="C429" s="68"/>
      <c r="D429" s="59">
        <v>100</v>
      </c>
      <c r="E429" s="56">
        <v>495</v>
      </c>
      <c r="F429" s="48">
        <v>64.3</v>
      </c>
      <c r="G429" s="83"/>
      <c r="H429" s="37">
        <f>E429*G429</f>
        <v>0</v>
      </c>
      <c r="I429" s="39">
        <f>G429*F429</f>
        <v>0</v>
      </c>
    </row>
    <row r="430" spans="1:9" s="1" customFormat="1" ht="34.5" customHeight="1">
      <c r="A430" s="19" t="s">
        <v>323</v>
      </c>
      <c r="B430" s="66" t="s">
        <v>508</v>
      </c>
      <c r="C430" s="68"/>
      <c r="D430" s="59">
        <v>3000</v>
      </c>
      <c r="E430" s="56">
        <v>220</v>
      </c>
      <c r="F430" s="48">
        <v>28.6</v>
      </c>
      <c r="G430" s="83"/>
      <c r="H430" s="37">
        <f>E430*G430</f>
        <v>0</v>
      </c>
      <c r="I430" s="39">
        <f>G430*F430</f>
        <v>0</v>
      </c>
    </row>
    <row r="431" spans="1:9" s="1" customFormat="1" ht="34.5" customHeight="1">
      <c r="A431" s="19" t="s">
        <v>984</v>
      </c>
      <c r="B431" s="66" t="s">
        <v>985</v>
      </c>
      <c r="C431" s="68"/>
      <c r="D431" s="59">
        <v>1000</v>
      </c>
      <c r="E431" s="56">
        <v>263</v>
      </c>
      <c r="F431" s="48">
        <v>34.200000000000003</v>
      </c>
      <c r="G431" s="83"/>
      <c r="H431" s="37">
        <f>E431*G431</f>
        <v>0</v>
      </c>
      <c r="I431" s="39">
        <f>G431*F431</f>
        <v>0</v>
      </c>
    </row>
    <row r="432" spans="1:9" s="1" customFormat="1" ht="34.5" customHeight="1">
      <c r="A432" s="19" t="s">
        <v>1088</v>
      </c>
      <c r="B432" s="66" t="s">
        <v>1089</v>
      </c>
      <c r="C432" s="68"/>
      <c r="D432" s="59">
        <v>1200</v>
      </c>
      <c r="E432" s="56">
        <v>108</v>
      </c>
      <c r="F432" s="48">
        <v>14.1</v>
      </c>
      <c r="G432" s="83"/>
      <c r="H432" s="37">
        <f>E432*G432</f>
        <v>0</v>
      </c>
      <c r="I432" s="39">
        <f>G432*F432</f>
        <v>0</v>
      </c>
    </row>
    <row r="433" spans="1:9" s="1" customFormat="1" ht="34.5" customHeight="1">
      <c r="A433" s="19" t="s">
        <v>1086</v>
      </c>
      <c r="B433" s="66" t="s">
        <v>1087</v>
      </c>
      <c r="C433" s="68"/>
      <c r="D433" s="59">
        <v>1200</v>
      </c>
      <c r="E433" s="56">
        <v>108</v>
      </c>
      <c r="F433" s="48">
        <v>14.1</v>
      </c>
      <c r="G433" s="83"/>
      <c r="H433" s="37">
        <f>E433*G433</f>
        <v>0</v>
      </c>
      <c r="I433" s="39">
        <f>G433*F433</f>
        <v>0</v>
      </c>
    </row>
    <row r="434" spans="1:9" s="1" customFormat="1" ht="34.5" customHeight="1">
      <c r="A434" s="19" t="s">
        <v>463</v>
      </c>
      <c r="B434" s="66" t="s">
        <v>464</v>
      </c>
      <c r="C434" s="68"/>
      <c r="D434" s="59">
        <v>240</v>
      </c>
      <c r="E434" s="56">
        <v>658</v>
      </c>
      <c r="F434" s="48">
        <v>85.5</v>
      </c>
      <c r="G434" s="83"/>
      <c r="H434" s="37">
        <f>E434*G434</f>
        <v>0</v>
      </c>
      <c r="I434" s="39">
        <f>G434*F434</f>
        <v>0</v>
      </c>
    </row>
    <row r="435" spans="1:9" s="1" customFormat="1" ht="34.5" customHeight="1">
      <c r="A435" s="19" t="s">
        <v>1261</v>
      </c>
      <c r="B435" s="66" t="s">
        <v>1262</v>
      </c>
      <c r="C435" s="68"/>
      <c r="D435" s="59">
        <v>100</v>
      </c>
      <c r="E435" s="56">
        <v>910</v>
      </c>
      <c r="F435" s="48">
        <v>118.19999999999999</v>
      </c>
      <c r="G435" s="83"/>
      <c r="H435" s="37">
        <f>E435*G435</f>
        <v>0</v>
      </c>
      <c r="I435" s="39">
        <f>G435*F435</f>
        <v>0</v>
      </c>
    </row>
    <row r="436" spans="1:9" s="1" customFormat="1" ht="34.5" customHeight="1">
      <c r="A436" s="19" t="s">
        <v>1045</v>
      </c>
      <c r="B436" s="66" t="s">
        <v>1046</v>
      </c>
      <c r="C436" s="68"/>
      <c r="D436" s="59">
        <v>500</v>
      </c>
      <c r="E436" s="56">
        <v>895</v>
      </c>
      <c r="F436" s="48">
        <v>116.3</v>
      </c>
      <c r="G436" s="83"/>
      <c r="H436" s="37">
        <f>E436*G436</f>
        <v>0</v>
      </c>
      <c r="I436" s="39">
        <f>G436*F436</f>
        <v>0</v>
      </c>
    </row>
    <row r="437" spans="1:9" s="1" customFormat="1" ht="34.5" customHeight="1">
      <c r="A437" s="19" t="s">
        <v>1259</v>
      </c>
      <c r="B437" s="66" t="s">
        <v>1260</v>
      </c>
      <c r="C437" s="68"/>
      <c r="D437" s="59">
        <v>100</v>
      </c>
      <c r="E437" s="56">
        <v>970</v>
      </c>
      <c r="F437" s="48">
        <v>126</v>
      </c>
      <c r="G437" s="83"/>
      <c r="H437" s="37">
        <f>E437*G437</f>
        <v>0</v>
      </c>
      <c r="I437" s="39">
        <f>G437*F437</f>
        <v>0</v>
      </c>
    </row>
    <row r="438" spans="1:9" s="1" customFormat="1" ht="34.5" customHeight="1">
      <c r="A438" s="19" t="s">
        <v>467</v>
      </c>
      <c r="B438" s="66" t="s">
        <v>468</v>
      </c>
      <c r="C438" s="68"/>
      <c r="D438" s="59">
        <v>2000</v>
      </c>
      <c r="E438" s="56">
        <v>109</v>
      </c>
      <c r="F438" s="48">
        <v>14.2</v>
      </c>
      <c r="G438" s="83"/>
      <c r="H438" s="37">
        <f>E438*G438</f>
        <v>0</v>
      </c>
      <c r="I438" s="39">
        <f>G438*F438</f>
        <v>0</v>
      </c>
    </row>
    <row r="439" spans="1:9" s="1" customFormat="1" ht="34.5" customHeight="1">
      <c r="A439" s="19" t="s">
        <v>656</v>
      </c>
      <c r="B439" s="66" t="s">
        <v>657</v>
      </c>
      <c r="C439" s="68"/>
      <c r="D439" s="59">
        <v>2000</v>
      </c>
      <c r="E439" s="56">
        <v>123</v>
      </c>
      <c r="F439" s="48">
        <v>16</v>
      </c>
      <c r="G439" s="83"/>
      <c r="H439" s="37">
        <f>E439*G439</f>
        <v>0</v>
      </c>
      <c r="I439" s="39">
        <f>G439*F439</f>
        <v>0</v>
      </c>
    </row>
    <row r="440" spans="1:9" s="1" customFormat="1" ht="34.5" customHeight="1">
      <c r="A440" s="19" t="s">
        <v>1063</v>
      </c>
      <c r="B440" s="66" t="s">
        <v>1134</v>
      </c>
      <c r="C440" s="68"/>
      <c r="D440" s="59">
        <v>2000</v>
      </c>
      <c r="E440" s="56">
        <v>62</v>
      </c>
      <c r="F440" s="48">
        <v>8.1</v>
      </c>
      <c r="G440" s="83"/>
      <c r="H440" s="37">
        <f>E440*G440</f>
        <v>0</v>
      </c>
      <c r="I440" s="39">
        <f>G440*F440</f>
        <v>0</v>
      </c>
    </row>
    <row r="441" spans="1:9" s="1" customFormat="1" ht="34.5" customHeight="1">
      <c r="A441" s="19" t="s">
        <v>1282</v>
      </c>
      <c r="B441" s="66" t="s">
        <v>1283</v>
      </c>
      <c r="C441" s="68"/>
      <c r="D441" s="59">
        <v>1000</v>
      </c>
      <c r="E441" s="56">
        <v>252</v>
      </c>
      <c r="F441" s="48">
        <v>32.800000000000004</v>
      </c>
      <c r="G441" s="83"/>
      <c r="H441" s="37">
        <f>E441*G441</f>
        <v>0</v>
      </c>
      <c r="I441" s="39">
        <f>G441*F441</f>
        <v>0</v>
      </c>
    </row>
    <row r="442" spans="1:9" s="1" customFormat="1" ht="34.5" customHeight="1">
      <c r="A442" s="19" t="s">
        <v>1117</v>
      </c>
      <c r="B442" s="66" t="s">
        <v>1133</v>
      </c>
      <c r="C442" s="68"/>
      <c r="D442" s="59">
        <v>1000</v>
      </c>
      <c r="E442" s="56">
        <v>230</v>
      </c>
      <c r="F442" s="48">
        <v>29.900000000000002</v>
      </c>
      <c r="G442" s="83"/>
      <c r="H442" s="37">
        <f>E442*G442</f>
        <v>0</v>
      </c>
      <c r="I442" s="39">
        <f>G442*F442</f>
        <v>0</v>
      </c>
    </row>
    <row r="443" spans="1:9" s="1" customFormat="1" ht="34.5" customHeight="1">
      <c r="A443" s="19" t="s">
        <v>883</v>
      </c>
      <c r="B443" s="66" t="s">
        <v>1047</v>
      </c>
      <c r="C443" s="68"/>
      <c r="D443" s="59">
        <v>20</v>
      </c>
      <c r="E443" s="56">
        <v>320</v>
      </c>
      <c r="F443" s="48">
        <v>41.6</v>
      </c>
      <c r="G443" s="83"/>
      <c r="H443" s="37">
        <f>E443*G443</f>
        <v>0</v>
      </c>
      <c r="I443" s="39">
        <f>G443*F443</f>
        <v>0</v>
      </c>
    </row>
    <row r="444" spans="1:9" s="1" customFormat="1" ht="34.5" customHeight="1">
      <c r="A444" s="19" t="s">
        <v>858</v>
      </c>
      <c r="B444" s="66" t="s">
        <v>859</v>
      </c>
      <c r="C444" s="68"/>
      <c r="D444" s="59">
        <v>500</v>
      </c>
      <c r="E444" s="56">
        <v>140</v>
      </c>
      <c r="F444" s="48">
        <v>18.200000000000003</v>
      </c>
      <c r="G444" s="83"/>
      <c r="H444" s="37">
        <f>E444*G444</f>
        <v>0</v>
      </c>
      <c r="I444" s="39">
        <f>G444*F444</f>
        <v>0</v>
      </c>
    </row>
    <row r="445" spans="1:9" s="1" customFormat="1" ht="34.5" customHeight="1">
      <c r="A445" s="19" t="s">
        <v>856</v>
      </c>
      <c r="B445" s="66" t="s">
        <v>857</v>
      </c>
      <c r="C445" s="68"/>
      <c r="D445" s="59">
        <v>100</v>
      </c>
      <c r="E445" s="56">
        <v>109</v>
      </c>
      <c r="F445" s="48">
        <v>14.2</v>
      </c>
      <c r="G445" s="83"/>
      <c r="H445" s="37">
        <f>E445*G445</f>
        <v>0</v>
      </c>
      <c r="I445" s="39">
        <f>G445*F445</f>
        <v>0</v>
      </c>
    </row>
    <row r="446" spans="1:9" s="1" customFormat="1" ht="34.5" customHeight="1">
      <c r="A446" s="19" t="s">
        <v>632</v>
      </c>
      <c r="B446" s="66" t="s">
        <v>633</v>
      </c>
      <c r="C446" s="68"/>
      <c r="D446" s="59">
        <v>5</v>
      </c>
      <c r="E446" s="56">
        <v>439</v>
      </c>
      <c r="F446" s="48">
        <v>57.1</v>
      </c>
      <c r="G446" s="83"/>
      <c r="H446" s="37">
        <f>E446*G446</f>
        <v>0</v>
      </c>
      <c r="I446" s="39">
        <f>G446*F446</f>
        <v>0</v>
      </c>
    </row>
    <row r="447" spans="1:9" s="1" customFormat="1" ht="34.5" customHeight="1">
      <c r="A447" s="19" t="s">
        <v>1064</v>
      </c>
      <c r="B447" s="66" t="s">
        <v>1065</v>
      </c>
      <c r="C447" s="68"/>
      <c r="D447" s="59">
        <v>1000</v>
      </c>
      <c r="E447" s="56">
        <v>108</v>
      </c>
      <c r="F447" s="48">
        <v>14.1</v>
      </c>
      <c r="G447" s="83"/>
      <c r="H447" s="37">
        <f>E447*G447</f>
        <v>0</v>
      </c>
      <c r="I447" s="39">
        <f>G447*F447</f>
        <v>0</v>
      </c>
    </row>
    <row r="448" spans="1:9" s="1" customFormat="1" ht="34.5" customHeight="1">
      <c r="A448" s="19" t="s">
        <v>807</v>
      </c>
      <c r="B448" s="66" t="s">
        <v>808</v>
      </c>
      <c r="C448" s="68" t="s">
        <v>1379</v>
      </c>
      <c r="D448" s="59">
        <v>20</v>
      </c>
      <c r="E448" s="56">
        <v>320</v>
      </c>
      <c r="F448" s="48">
        <v>41.6</v>
      </c>
      <c r="G448" s="83"/>
      <c r="H448" s="37">
        <f>E448*G448</f>
        <v>0</v>
      </c>
      <c r="I448" s="39">
        <f>G448*F448</f>
        <v>0</v>
      </c>
    </row>
    <row r="449" spans="1:9" s="1" customFormat="1" ht="34.5" customHeight="1">
      <c r="A449" s="19" t="s">
        <v>1348</v>
      </c>
      <c r="B449" s="66" t="s">
        <v>1349</v>
      </c>
      <c r="C449" s="68"/>
      <c r="D449" s="59">
        <v>2000</v>
      </c>
      <c r="E449" s="56">
        <v>140</v>
      </c>
      <c r="F449" s="48">
        <v>18.200000000000003</v>
      </c>
      <c r="G449" s="83"/>
      <c r="H449" s="37">
        <f>E449*G449</f>
        <v>0</v>
      </c>
      <c r="I449" s="39">
        <f>G449*F449</f>
        <v>0</v>
      </c>
    </row>
    <row r="450" spans="1:9" s="1" customFormat="1" ht="34.5" customHeight="1">
      <c r="A450" s="19" t="s">
        <v>1350</v>
      </c>
      <c r="B450" s="66" t="s">
        <v>1351</v>
      </c>
      <c r="C450" s="68"/>
      <c r="D450" s="59">
        <v>2000</v>
      </c>
      <c r="E450" s="56">
        <v>108</v>
      </c>
      <c r="F450" s="48">
        <v>14.1</v>
      </c>
      <c r="G450" s="83"/>
      <c r="H450" s="37">
        <f>E450*G450</f>
        <v>0</v>
      </c>
      <c r="I450" s="39">
        <f>G450*F450</f>
        <v>0</v>
      </c>
    </row>
    <row r="451" spans="1:9" s="1" customFormat="1" ht="34.5" customHeight="1">
      <c r="A451" s="19" t="s">
        <v>1066</v>
      </c>
      <c r="B451" s="66" t="s">
        <v>1067</v>
      </c>
      <c r="C451" s="68"/>
      <c r="D451" s="59">
        <v>1000</v>
      </c>
      <c r="E451" s="56">
        <v>124</v>
      </c>
      <c r="F451" s="48">
        <v>16.200000000000003</v>
      </c>
      <c r="G451" s="83"/>
      <c r="H451" s="37">
        <f>E451*G451</f>
        <v>0</v>
      </c>
      <c r="I451" s="39">
        <f>G451*F451</f>
        <v>0</v>
      </c>
    </row>
    <row r="452" spans="1:9" s="1" customFormat="1" ht="34.5" customHeight="1">
      <c r="A452" s="19" t="s">
        <v>1284</v>
      </c>
      <c r="B452" s="66" t="s">
        <v>1285</v>
      </c>
      <c r="C452" s="68"/>
      <c r="D452" s="59">
        <v>400</v>
      </c>
      <c r="E452" s="56">
        <v>175</v>
      </c>
      <c r="F452" s="48">
        <v>22.8</v>
      </c>
      <c r="G452" s="83"/>
      <c r="H452" s="37">
        <f>E452*G452</f>
        <v>0</v>
      </c>
      <c r="I452" s="39">
        <f>G452*F452</f>
        <v>0</v>
      </c>
    </row>
    <row r="453" spans="1:9" s="1" customFormat="1" ht="34.5" customHeight="1">
      <c r="A453" s="19" t="s">
        <v>324</v>
      </c>
      <c r="B453" s="66" t="s">
        <v>325</v>
      </c>
      <c r="C453" s="68"/>
      <c r="D453" s="59">
        <v>800</v>
      </c>
      <c r="E453" s="56">
        <v>95</v>
      </c>
      <c r="F453" s="48">
        <v>12.4</v>
      </c>
      <c r="G453" s="83"/>
      <c r="H453" s="37">
        <f>E453*G453</f>
        <v>0</v>
      </c>
      <c r="I453" s="39">
        <f>G453*F453</f>
        <v>0</v>
      </c>
    </row>
    <row r="454" spans="1:9" s="1" customFormat="1" ht="34.5" customHeight="1">
      <c r="A454" s="19" t="s">
        <v>895</v>
      </c>
      <c r="B454" s="66" t="s">
        <v>896</v>
      </c>
      <c r="C454" s="68"/>
      <c r="D454" s="59">
        <v>5</v>
      </c>
      <c r="E454" s="56">
        <v>90</v>
      </c>
      <c r="F454" s="48">
        <v>11.7</v>
      </c>
      <c r="G454" s="83"/>
      <c r="H454" s="37">
        <f>E454*G454</f>
        <v>0</v>
      </c>
      <c r="I454" s="39">
        <f>G454*F454</f>
        <v>0</v>
      </c>
    </row>
    <row r="455" spans="1:9" s="1" customFormat="1" ht="34.5" customHeight="1">
      <c r="A455" s="19" t="s">
        <v>960</v>
      </c>
      <c r="B455" s="66" t="s">
        <v>961</v>
      </c>
      <c r="C455" s="68"/>
      <c r="D455" s="59">
        <v>1000</v>
      </c>
      <c r="E455" s="56">
        <v>113</v>
      </c>
      <c r="F455" s="48">
        <v>14.7</v>
      </c>
      <c r="G455" s="83"/>
      <c r="H455" s="37">
        <f>E455*G455</f>
        <v>0</v>
      </c>
      <c r="I455" s="39">
        <f>G455*F455</f>
        <v>0</v>
      </c>
    </row>
    <row r="456" spans="1:9" s="1" customFormat="1" ht="34.5" customHeight="1">
      <c r="A456" s="19" t="s">
        <v>576</v>
      </c>
      <c r="B456" s="66" t="s">
        <v>577</v>
      </c>
      <c r="C456" s="68"/>
      <c r="D456" s="59">
        <v>500</v>
      </c>
      <c r="E456" s="56">
        <v>168</v>
      </c>
      <c r="F456" s="48">
        <v>21.900000000000002</v>
      </c>
      <c r="G456" s="83"/>
      <c r="H456" s="37">
        <f>E456*G456</f>
        <v>0</v>
      </c>
      <c r="I456" s="39">
        <f>G456*F456</f>
        <v>0</v>
      </c>
    </row>
    <row r="457" spans="1:9" s="1" customFormat="1" ht="34.5" customHeight="1">
      <c r="A457" s="19" t="s">
        <v>192</v>
      </c>
      <c r="B457" s="66" t="s">
        <v>477</v>
      </c>
      <c r="C457" s="68"/>
      <c r="D457" s="59">
        <v>1600</v>
      </c>
      <c r="E457" s="56">
        <v>110</v>
      </c>
      <c r="F457" s="48">
        <v>14.299999999999999</v>
      </c>
      <c r="G457" s="83"/>
      <c r="H457" s="37">
        <f>E457*G457</f>
        <v>0</v>
      </c>
      <c r="I457" s="39">
        <f>G457*F457</f>
        <v>0</v>
      </c>
    </row>
    <row r="458" spans="1:9" s="1" customFormat="1" ht="34.5" customHeight="1">
      <c r="A458" s="19" t="s">
        <v>684</v>
      </c>
      <c r="B458" s="66" t="s">
        <v>685</v>
      </c>
      <c r="C458" s="68"/>
      <c r="D458" s="59">
        <v>500</v>
      </c>
      <c r="E458" s="56">
        <v>145</v>
      </c>
      <c r="F458" s="48">
        <v>18.900000000000002</v>
      </c>
      <c r="G458" s="83"/>
      <c r="H458" s="37">
        <f>E458*G458</f>
        <v>0</v>
      </c>
      <c r="I458" s="39">
        <f>G458*F458</f>
        <v>0</v>
      </c>
    </row>
    <row r="459" spans="1:9" s="1" customFormat="1" ht="34.5" customHeight="1">
      <c r="A459" s="19" t="s">
        <v>606</v>
      </c>
      <c r="B459" s="66" t="s">
        <v>607</v>
      </c>
      <c r="C459" s="68"/>
      <c r="D459" s="59">
        <v>500</v>
      </c>
      <c r="E459" s="56">
        <v>89</v>
      </c>
      <c r="F459" s="48">
        <v>11.6</v>
      </c>
      <c r="G459" s="83"/>
      <c r="H459" s="37">
        <f>E459*G459</f>
        <v>0</v>
      </c>
      <c r="I459" s="39">
        <f>G459*F459</f>
        <v>0</v>
      </c>
    </row>
    <row r="460" spans="1:9" s="1" customFormat="1" ht="34.5" customHeight="1">
      <c r="A460" s="19" t="s">
        <v>338</v>
      </c>
      <c r="B460" s="66" t="s">
        <v>339</v>
      </c>
      <c r="C460" s="68"/>
      <c r="D460" s="59">
        <v>950</v>
      </c>
      <c r="E460" s="56">
        <v>70</v>
      </c>
      <c r="F460" s="48">
        <v>9.1</v>
      </c>
      <c r="G460" s="83"/>
      <c r="H460" s="37">
        <f>E460*G460</f>
        <v>0</v>
      </c>
      <c r="I460" s="39">
        <f>G460*F460</f>
        <v>0</v>
      </c>
    </row>
    <row r="461" spans="1:9" s="1" customFormat="1" ht="34.5" customHeight="1">
      <c r="A461" s="19" t="s">
        <v>336</v>
      </c>
      <c r="B461" s="66" t="s">
        <v>337</v>
      </c>
      <c r="C461" s="68"/>
      <c r="D461" s="59">
        <v>1000</v>
      </c>
      <c r="E461" s="56">
        <v>100</v>
      </c>
      <c r="F461" s="48">
        <v>13</v>
      </c>
      <c r="G461" s="83"/>
      <c r="H461" s="37">
        <f>E461*G461</f>
        <v>0</v>
      </c>
      <c r="I461" s="39">
        <f>G461*F461</f>
        <v>0</v>
      </c>
    </row>
    <row r="462" spans="1:9" s="1" customFormat="1" ht="34.5" customHeight="1">
      <c r="A462" s="19" t="s">
        <v>1208</v>
      </c>
      <c r="B462" s="66" t="s">
        <v>1209</v>
      </c>
      <c r="C462" s="68"/>
      <c r="D462" s="59">
        <v>1000</v>
      </c>
      <c r="E462" s="56">
        <v>119</v>
      </c>
      <c r="F462" s="48">
        <v>15.5</v>
      </c>
      <c r="G462" s="83"/>
      <c r="H462" s="37">
        <f>E462*G462</f>
        <v>0</v>
      </c>
      <c r="I462" s="39">
        <f>G462*F462</f>
        <v>0</v>
      </c>
    </row>
    <row r="463" spans="1:9" s="1" customFormat="1" ht="34.5" customHeight="1">
      <c r="A463" s="19" t="s">
        <v>479</v>
      </c>
      <c r="B463" s="66" t="s">
        <v>480</v>
      </c>
      <c r="C463" s="68"/>
      <c r="D463" s="59">
        <v>500</v>
      </c>
      <c r="E463" s="56">
        <v>205</v>
      </c>
      <c r="F463" s="48">
        <v>26.700000000000003</v>
      </c>
      <c r="G463" s="83"/>
      <c r="H463" s="37">
        <f>E463*G463</f>
        <v>0</v>
      </c>
      <c r="I463" s="39">
        <f>G463*F463</f>
        <v>0</v>
      </c>
    </row>
    <row r="464" spans="1:9" s="1" customFormat="1" ht="34.5" customHeight="1">
      <c r="A464" s="19" t="s">
        <v>326</v>
      </c>
      <c r="B464" s="66" t="s">
        <v>327</v>
      </c>
      <c r="C464" s="68"/>
      <c r="D464" s="59">
        <v>5000</v>
      </c>
      <c r="E464" s="56">
        <v>156</v>
      </c>
      <c r="F464" s="48">
        <v>20.3</v>
      </c>
      <c r="G464" s="83"/>
      <c r="H464" s="37">
        <f>E464*G464</f>
        <v>0</v>
      </c>
      <c r="I464" s="39">
        <f>G464*F464</f>
        <v>0</v>
      </c>
    </row>
    <row r="465" spans="1:9" s="1" customFormat="1" ht="34.5" customHeight="1">
      <c r="A465" s="19" t="s">
        <v>328</v>
      </c>
      <c r="B465" s="66" t="s">
        <v>329</v>
      </c>
      <c r="C465" s="68"/>
      <c r="D465" s="59">
        <v>5000</v>
      </c>
      <c r="E465" s="56">
        <v>156</v>
      </c>
      <c r="F465" s="48">
        <v>20.3</v>
      </c>
      <c r="G465" s="83"/>
      <c r="H465" s="37">
        <f>E465*G465</f>
        <v>0</v>
      </c>
      <c r="I465" s="39">
        <f>G465*F465</f>
        <v>0</v>
      </c>
    </row>
    <row r="466" spans="1:9" s="1" customFormat="1" ht="34.5" customHeight="1">
      <c r="A466" s="19" t="s">
        <v>330</v>
      </c>
      <c r="B466" s="66" t="s">
        <v>331</v>
      </c>
      <c r="C466" s="68"/>
      <c r="D466" s="59">
        <v>5000</v>
      </c>
      <c r="E466" s="56">
        <v>156</v>
      </c>
      <c r="F466" s="48">
        <v>20.3</v>
      </c>
      <c r="G466" s="83"/>
      <c r="H466" s="37">
        <f>E466*G466</f>
        <v>0</v>
      </c>
      <c r="I466" s="39">
        <f>G466*F466</f>
        <v>0</v>
      </c>
    </row>
    <row r="467" spans="1:9" s="1" customFormat="1" ht="34.5" customHeight="1">
      <c r="A467" s="19" t="s">
        <v>332</v>
      </c>
      <c r="B467" s="66" t="s">
        <v>333</v>
      </c>
      <c r="C467" s="68"/>
      <c r="D467" s="59">
        <v>5000</v>
      </c>
      <c r="E467" s="56">
        <v>156</v>
      </c>
      <c r="F467" s="48">
        <v>20.3</v>
      </c>
      <c r="G467" s="83"/>
      <c r="H467" s="37">
        <f>E467*G467</f>
        <v>0</v>
      </c>
      <c r="I467" s="39">
        <f>G467*F467</f>
        <v>0</v>
      </c>
    </row>
    <row r="468" spans="1:9" s="1" customFormat="1" ht="34.5" customHeight="1">
      <c r="A468" s="19" t="s">
        <v>1206</v>
      </c>
      <c r="B468" s="66" t="s">
        <v>1207</v>
      </c>
      <c r="C468" s="68"/>
      <c r="D468" s="59">
        <v>1000</v>
      </c>
      <c r="E468" s="56">
        <v>150</v>
      </c>
      <c r="F468" s="48">
        <v>19.5</v>
      </c>
      <c r="G468" s="83"/>
      <c r="H468" s="37">
        <f>E468*G468</f>
        <v>0</v>
      </c>
      <c r="I468" s="39">
        <f>G468*F468</f>
        <v>0</v>
      </c>
    </row>
    <row r="469" spans="1:9" s="1" customFormat="1" ht="34.5" customHeight="1">
      <c r="A469" s="19" t="s">
        <v>948</v>
      </c>
      <c r="B469" s="66" t="s">
        <v>949</v>
      </c>
      <c r="C469" s="68"/>
      <c r="D469" s="59">
        <v>150</v>
      </c>
      <c r="E469" s="56">
        <v>280</v>
      </c>
      <c r="F469" s="48">
        <v>36.4</v>
      </c>
      <c r="G469" s="83"/>
      <c r="H469" s="37">
        <f>E469*G469</f>
        <v>0</v>
      </c>
      <c r="I469" s="39">
        <f>G469*F469</f>
        <v>0</v>
      </c>
    </row>
    <row r="470" spans="1:9" s="1" customFormat="1" ht="34.5" customHeight="1">
      <c r="A470" s="19" t="s">
        <v>675</v>
      </c>
      <c r="B470" s="66" t="s">
        <v>676</v>
      </c>
      <c r="C470" s="68"/>
      <c r="D470" s="59">
        <v>1000</v>
      </c>
      <c r="E470" s="56">
        <v>435</v>
      </c>
      <c r="F470" s="48">
        <v>56.5</v>
      </c>
      <c r="G470" s="83"/>
      <c r="H470" s="37">
        <f>E470*G470</f>
        <v>0</v>
      </c>
      <c r="I470" s="39">
        <f>G470*F470</f>
        <v>0</v>
      </c>
    </row>
    <row r="471" spans="1:9" s="1" customFormat="1" ht="34.5" customHeight="1">
      <c r="A471" s="19" t="s">
        <v>995</v>
      </c>
      <c r="B471" s="66" t="s">
        <v>996</v>
      </c>
      <c r="C471" s="68"/>
      <c r="D471" s="59">
        <v>100</v>
      </c>
      <c r="E471" s="56">
        <v>285</v>
      </c>
      <c r="F471" s="48">
        <v>37.1</v>
      </c>
      <c r="G471" s="83"/>
      <c r="H471" s="37">
        <f>E471*G471</f>
        <v>0</v>
      </c>
      <c r="I471" s="39">
        <f>G471*F471</f>
        <v>0</v>
      </c>
    </row>
    <row r="472" spans="1:9" s="1" customFormat="1" ht="34.5" customHeight="1">
      <c r="A472" s="19" t="s">
        <v>997</v>
      </c>
      <c r="B472" s="66" t="s">
        <v>998</v>
      </c>
      <c r="C472" s="68"/>
      <c r="D472" s="59">
        <v>100</v>
      </c>
      <c r="E472" s="56">
        <v>287</v>
      </c>
      <c r="F472" s="48">
        <v>37.300000000000004</v>
      </c>
      <c r="G472" s="83"/>
      <c r="H472" s="37">
        <f>E472*G472</f>
        <v>0</v>
      </c>
      <c r="I472" s="39">
        <f>G472*F472</f>
        <v>0</v>
      </c>
    </row>
    <row r="473" spans="1:9" s="1" customFormat="1" ht="34.5" customHeight="1">
      <c r="A473" s="19" t="s">
        <v>342</v>
      </c>
      <c r="B473" s="66" t="s">
        <v>343</v>
      </c>
      <c r="C473" s="68"/>
      <c r="D473" s="59">
        <v>1000</v>
      </c>
      <c r="E473" s="56">
        <v>105</v>
      </c>
      <c r="F473" s="48">
        <v>13.7</v>
      </c>
      <c r="G473" s="83"/>
      <c r="H473" s="37">
        <f>E473*G473</f>
        <v>0</v>
      </c>
      <c r="I473" s="39">
        <f>G473*F473</f>
        <v>0</v>
      </c>
    </row>
    <row r="474" spans="1:9" s="1" customFormat="1" ht="34.5" customHeight="1">
      <c r="A474" s="19" t="s">
        <v>344</v>
      </c>
      <c r="B474" s="66" t="s">
        <v>345</v>
      </c>
      <c r="C474" s="68"/>
      <c r="D474" s="59">
        <v>1310</v>
      </c>
      <c r="E474" s="56">
        <v>90</v>
      </c>
      <c r="F474" s="48">
        <v>11.7</v>
      </c>
      <c r="G474" s="83"/>
      <c r="H474" s="37">
        <f>E474*G474</f>
        <v>0</v>
      </c>
      <c r="I474" s="39">
        <f>G474*F474</f>
        <v>0</v>
      </c>
    </row>
    <row r="475" spans="1:9" s="1" customFormat="1" ht="34.5" customHeight="1">
      <c r="A475" s="19" t="s">
        <v>551</v>
      </c>
      <c r="B475" s="66" t="s">
        <v>552</v>
      </c>
      <c r="C475" s="68"/>
      <c r="D475" s="59">
        <v>2000</v>
      </c>
      <c r="E475" s="56">
        <v>175</v>
      </c>
      <c r="F475" s="48">
        <v>22.8</v>
      </c>
      <c r="G475" s="83"/>
      <c r="H475" s="37">
        <f>E475*G475</f>
        <v>0</v>
      </c>
      <c r="I475" s="39">
        <f>G475*F475</f>
        <v>0</v>
      </c>
    </row>
    <row r="476" spans="1:9" s="1" customFormat="1" ht="34.5" customHeight="1">
      <c r="A476" s="19" t="s">
        <v>340</v>
      </c>
      <c r="B476" s="66" t="s">
        <v>341</v>
      </c>
      <c r="C476" s="68"/>
      <c r="D476" s="59">
        <v>5000</v>
      </c>
      <c r="E476" s="56">
        <v>150</v>
      </c>
      <c r="F476" s="48">
        <v>19.5</v>
      </c>
      <c r="G476" s="83"/>
      <c r="H476" s="37">
        <f>E476*G476</f>
        <v>0</v>
      </c>
      <c r="I476" s="39">
        <f>G476*F476</f>
        <v>0</v>
      </c>
    </row>
    <row r="477" spans="1:9" s="1" customFormat="1" ht="34.5" customHeight="1">
      <c r="A477" s="19" t="s">
        <v>819</v>
      </c>
      <c r="B477" s="66" t="s">
        <v>820</v>
      </c>
      <c r="C477" s="68"/>
      <c r="D477" s="59">
        <v>800</v>
      </c>
      <c r="E477" s="56">
        <v>346</v>
      </c>
      <c r="F477" s="48">
        <v>45</v>
      </c>
      <c r="G477" s="83"/>
      <c r="H477" s="37">
        <f>E477*G477</f>
        <v>0</v>
      </c>
      <c r="I477" s="39">
        <f>G477*F477</f>
        <v>0</v>
      </c>
    </row>
    <row r="478" spans="1:9" s="1" customFormat="1" ht="34.5" customHeight="1">
      <c r="A478" s="19" t="s">
        <v>813</v>
      </c>
      <c r="B478" s="66" t="s">
        <v>814</v>
      </c>
      <c r="C478" s="68"/>
      <c r="D478" s="59">
        <v>500</v>
      </c>
      <c r="E478" s="56">
        <v>346</v>
      </c>
      <c r="F478" s="48">
        <v>45</v>
      </c>
      <c r="G478" s="83"/>
      <c r="H478" s="37">
        <f>E478*G478</f>
        <v>0</v>
      </c>
      <c r="I478" s="39">
        <f>G478*F478</f>
        <v>0</v>
      </c>
    </row>
    <row r="479" spans="1:9" s="1" customFormat="1" ht="34.5" customHeight="1">
      <c r="A479" s="19" t="s">
        <v>821</v>
      </c>
      <c r="B479" s="66" t="s">
        <v>822</v>
      </c>
      <c r="C479" s="68"/>
      <c r="D479" s="59">
        <v>800</v>
      </c>
      <c r="E479" s="56">
        <v>346</v>
      </c>
      <c r="F479" s="48">
        <v>45</v>
      </c>
      <c r="G479" s="83"/>
      <c r="H479" s="37">
        <f>E479*G479</f>
        <v>0</v>
      </c>
      <c r="I479" s="39">
        <f>G479*F479</f>
        <v>0</v>
      </c>
    </row>
    <row r="480" spans="1:9" s="1" customFormat="1" ht="34.5" customHeight="1">
      <c r="A480" s="19" t="s">
        <v>815</v>
      </c>
      <c r="B480" s="66" t="s">
        <v>816</v>
      </c>
      <c r="C480" s="68"/>
      <c r="D480" s="59">
        <v>500</v>
      </c>
      <c r="E480" s="56">
        <v>346</v>
      </c>
      <c r="F480" s="48">
        <v>45</v>
      </c>
      <c r="G480" s="83"/>
      <c r="H480" s="37">
        <f>E480*G480</f>
        <v>0</v>
      </c>
      <c r="I480" s="39">
        <f>G480*F480</f>
        <v>0</v>
      </c>
    </row>
    <row r="481" spans="1:9" s="1" customFormat="1" ht="34.5" customHeight="1">
      <c r="A481" s="19" t="s">
        <v>817</v>
      </c>
      <c r="B481" s="66" t="s">
        <v>818</v>
      </c>
      <c r="C481" s="68"/>
      <c r="D481" s="59">
        <v>400</v>
      </c>
      <c r="E481" s="56">
        <v>168</v>
      </c>
      <c r="F481" s="48">
        <v>21.900000000000002</v>
      </c>
      <c r="G481" s="83"/>
      <c r="H481" s="37">
        <f>E481*G481</f>
        <v>0</v>
      </c>
      <c r="I481" s="39">
        <f>G481*F481</f>
        <v>0</v>
      </c>
    </row>
    <row r="482" spans="1:9" s="1" customFormat="1" ht="34.5" customHeight="1">
      <c r="A482" s="19" t="s">
        <v>809</v>
      </c>
      <c r="B482" s="66" t="s">
        <v>1263</v>
      </c>
      <c r="C482" s="68"/>
      <c r="D482" s="59">
        <v>1000</v>
      </c>
      <c r="E482" s="56">
        <v>307</v>
      </c>
      <c r="F482" s="48">
        <v>39.9</v>
      </c>
      <c r="G482" s="83"/>
      <c r="H482" s="37">
        <f>E482*G482</f>
        <v>0</v>
      </c>
      <c r="I482" s="39">
        <f>G482*F482</f>
        <v>0</v>
      </c>
    </row>
    <row r="483" spans="1:9" s="1" customFormat="1" ht="34.5" customHeight="1">
      <c r="A483" s="19" t="s">
        <v>811</v>
      </c>
      <c r="B483" s="66" t="s">
        <v>812</v>
      </c>
      <c r="C483" s="68"/>
      <c r="D483" s="59">
        <v>500</v>
      </c>
      <c r="E483" s="56">
        <v>346</v>
      </c>
      <c r="F483" s="48">
        <v>45</v>
      </c>
      <c r="G483" s="83"/>
      <c r="H483" s="37">
        <f>E483*G483</f>
        <v>0</v>
      </c>
      <c r="I483" s="39">
        <f>G483*F483</f>
        <v>0</v>
      </c>
    </row>
    <row r="484" spans="1:9" s="1" customFormat="1" ht="34.5" customHeight="1">
      <c r="A484" s="19" t="s">
        <v>810</v>
      </c>
      <c r="B484" s="66" t="s">
        <v>1264</v>
      </c>
      <c r="C484" s="68"/>
      <c r="D484" s="59">
        <v>200</v>
      </c>
      <c r="E484" s="56">
        <v>183</v>
      </c>
      <c r="F484" s="48">
        <v>23.8</v>
      </c>
      <c r="G484" s="83"/>
      <c r="H484" s="37">
        <f>E484*G484</f>
        <v>0</v>
      </c>
      <c r="I484" s="39">
        <f>G484*F484</f>
        <v>0</v>
      </c>
    </row>
    <row r="485" spans="1:9" s="1" customFormat="1" ht="34.5" customHeight="1">
      <c r="A485" s="19" t="s">
        <v>465</v>
      </c>
      <c r="B485" s="66" t="s">
        <v>466</v>
      </c>
      <c r="C485" s="68"/>
      <c r="D485" s="59">
        <v>500</v>
      </c>
      <c r="E485" s="56">
        <v>833</v>
      </c>
      <c r="F485" s="48">
        <v>108.19999999999999</v>
      </c>
      <c r="G485" s="83"/>
      <c r="H485" s="37">
        <f>E485*G485</f>
        <v>0</v>
      </c>
      <c r="I485" s="39">
        <f>G485*F485</f>
        <v>0</v>
      </c>
    </row>
    <row r="486" spans="1:9" s="1" customFormat="1" ht="34.5" customHeight="1">
      <c r="A486" s="19" t="s">
        <v>349</v>
      </c>
      <c r="B486" s="66" t="s">
        <v>547</v>
      </c>
      <c r="C486" s="68"/>
      <c r="D486" s="59">
        <v>2000</v>
      </c>
      <c r="E486" s="56">
        <v>108</v>
      </c>
      <c r="F486" s="48">
        <v>14.1</v>
      </c>
      <c r="G486" s="83"/>
      <c r="H486" s="37">
        <f>E486*G486</f>
        <v>0</v>
      </c>
      <c r="I486" s="39">
        <f>G486*F486</f>
        <v>0</v>
      </c>
    </row>
    <row r="487" spans="1:9" s="1" customFormat="1" ht="34.5" customHeight="1">
      <c r="A487" s="19" t="s">
        <v>1216</v>
      </c>
      <c r="B487" s="66" t="s">
        <v>1217</v>
      </c>
      <c r="C487" s="68"/>
      <c r="D487" s="59">
        <v>200</v>
      </c>
      <c r="E487" s="56">
        <v>216</v>
      </c>
      <c r="F487" s="48">
        <v>28.1</v>
      </c>
      <c r="G487" s="83"/>
      <c r="H487" s="37">
        <f>E487*G487</f>
        <v>0</v>
      </c>
      <c r="I487" s="39">
        <f>G487*F487</f>
        <v>0</v>
      </c>
    </row>
    <row r="488" spans="1:9" s="1" customFormat="1" ht="34.5" customHeight="1">
      <c r="A488" s="19" t="s">
        <v>1214</v>
      </c>
      <c r="B488" s="66" t="s">
        <v>1215</v>
      </c>
      <c r="C488" s="68"/>
      <c r="D488" s="59">
        <v>750</v>
      </c>
      <c r="E488" s="56">
        <v>78</v>
      </c>
      <c r="F488" s="48">
        <v>10.199999999999999</v>
      </c>
      <c r="G488" s="83"/>
      <c r="H488" s="37">
        <f>E488*G488</f>
        <v>0</v>
      </c>
      <c r="I488" s="39">
        <f>G488*F488</f>
        <v>0</v>
      </c>
    </row>
    <row r="489" spans="1:9" s="1" customFormat="1" ht="34.5" customHeight="1">
      <c r="A489" s="19" t="s">
        <v>1210</v>
      </c>
      <c r="B489" s="66" t="s">
        <v>1211</v>
      </c>
      <c r="C489" s="68"/>
      <c r="D489" s="59">
        <v>160</v>
      </c>
      <c r="E489" s="56">
        <v>245</v>
      </c>
      <c r="F489" s="48">
        <v>31.900000000000002</v>
      </c>
      <c r="G489" s="83"/>
      <c r="H489" s="37">
        <f>E489*G489</f>
        <v>0</v>
      </c>
      <c r="I489" s="39">
        <f>G489*F489</f>
        <v>0</v>
      </c>
    </row>
    <row r="490" spans="1:9" s="1" customFormat="1" ht="34.5" customHeight="1">
      <c r="A490" s="19" t="s">
        <v>347</v>
      </c>
      <c r="B490" s="66" t="s">
        <v>548</v>
      </c>
      <c r="C490" s="68"/>
      <c r="D490" s="59">
        <v>1000</v>
      </c>
      <c r="E490" s="56">
        <v>198</v>
      </c>
      <c r="F490" s="48">
        <v>25.8</v>
      </c>
      <c r="G490" s="83"/>
      <c r="H490" s="37">
        <f>E490*G490</f>
        <v>0</v>
      </c>
      <c r="I490" s="39">
        <f>G490*F490</f>
        <v>0</v>
      </c>
    </row>
    <row r="491" spans="1:9" s="1" customFormat="1" ht="34.5" customHeight="1">
      <c r="A491" s="19" t="s">
        <v>346</v>
      </c>
      <c r="B491" s="66" t="s">
        <v>546</v>
      </c>
      <c r="C491" s="68"/>
      <c r="D491" s="59">
        <v>2000</v>
      </c>
      <c r="E491" s="56">
        <v>169</v>
      </c>
      <c r="F491" s="48">
        <v>22</v>
      </c>
      <c r="G491" s="83"/>
      <c r="H491" s="37">
        <f>E491*G491</f>
        <v>0</v>
      </c>
      <c r="I491" s="39">
        <f>G491*F491</f>
        <v>0</v>
      </c>
    </row>
    <row r="492" spans="1:9" s="1" customFormat="1" ht="34.5" customHeight="1">
      <c r="A492" s="19" t="s">
        <v>348</v>
      </c>
      <c r="B492" s="66" t="s">
        <v>509</v>
      </c>
      <c r="C492" s="68"/>
      <c r="D492" s="59">
        <v>3000</v>
      </c>
      <c r="E492" s="56">
        <v>173</v>
      </c>
      <c r="F492" s="48">
        <v>22.5</v>
      </c>
      <c r="G492" s="83"/>
      <c r="H492" s="37">
        <f>E492*G492</f>
        <v>0</v>
      </c>
      <c r="I492" s="39">
        <f>G492*F492</f>
        <v>0</v>
      </c>
    </row>
    <row r="493" spans="1:9" s="1" customFormat="1" ht="34.5" customHeight="1">
      <c r="A493" s="19" t="s">
        <v>1212</v>
      </c>
      <c r="B493" s="66" t="s">
        <v>1213</v>
      </c>
      <c r="C493" s="68"/>
      <c r="D493" s="59">
        <v>100</v>
      </c>
      <c r="E493" s="56">
        <v>275</v>
      </c>
      <c r="F493" s="48">
        <v>35.800000000000004</v>
      </c>
      <c r="G493" s="83"/>
      <c r="H493" s="37">
        <f>E493*G493</f>
        <v>0</v>
      </c>
      <c r="I493" s="39">
        <f>G493*F493</f>
        <v>0</v>
      </c>
    </row>
    <row r="494" spans="1:9" s="1" customFormat="1" ht="34.5" customHeight="1">
      <c r="A494" s="19" t="s">
        <v>1218</v>
      </c>
      <c r="B494" s="66" t="s">
        <v>1219</v>
      </c>
      <c r="C494" s="68"/>
      <c r="D494" s="59">
        <v>800</v>
      </c>
      <c r="E494" s="56">
        <v>145</v>
      </c>
      <c r="F494" s="48">
        <v>18.900000000000002</v>
      </c>
      <c r="G494" s="83"/>
      <c r="H494" s="37">
        <f>E494*G494</f>
        <v>0</v>
      </c>
      <c r="I494" s="39">
        <f>G494*F494</f>
        <v>0</v>
      </c>
    </row>
    <row r="495" spans="1:9" s="1" customFormat="1" ht="34.5" customHeight="1">
      <c r="A495" s="19" t="s">
        <v>352</v>
      </c>
      <c r="B495" s="66" t="s">
        <v>545</v>
      </c>
      <c r="C495" s="68"/>
      <c r="D495" s="59">
        <v>2000</v>
      </c>
      <c r="E495" s="56">
        <v>185</v>
      </c>
      <c r="F495" s="48">
        <v>24.1</v>
      </c>
      <c r="G495" s="83"/>
      <c r="H495" s="37">
        <f>E495*G495</f>
        <v>0</v>
      </c>
      <c r="I495" s="39">
        <f>G495*F495</f>
        <v>0</v>
      </c>
    </row>
    <row r="496" spans="1:9" s="1" customFormat="1" ht="34.5" customHeight="1">
      <c r="A496" s="19" t="s">
        <v>860</v>
      </c>
      <c r="B496" s="66" t="s">
        <v>861</v>
      </c>
      <c r="C496" s="68"/>
      <c r="D496" s="59">
        <v>3000</v>
      </c>
      <c r="E496" s="56">
        <v>138</v>
      </c>
      <c r="F496" s="48">
        <v>18</v>
      </c>
      <c r="G496" s="83"/>
      <c r="H496" s="37">
        <f>E496*G496</f>
        <v>0</v>
      </c>
      <c r="I496" s="39">
        <f>G496*F496</f>
        <v>0</v>
      </c>
    </row>
    <row r="497" spans="1:9" s="1" customFormat="1" ht="34.5" customHeight="1">
      <c r="A497" s="19" t="s">
        <v>1220</v>
      </c>
      <c r="B497" s="66" t="s">
        <v>1221</v>
      </c>
      <c r="C497" s="68"/>
      <c r="D497" s="59">
        <v>500</v>
      </c>
      <c r="E497" s="56">
        <v>149</v>
      </c>
      <c r="F497" s="48">
        <v>19.400000000000002</v>
      </c>
      <c r="G497" s="83"/>
      <c r="H497" s="37">
        <f>E497*G497</f>
        <v>0</v>
      </c>
      <c r="I497" s="39">
        <f>G497*F497</f>
        <v>0</v>
      </c>
    </row>
    <row r="498" spans="1:9" s="1" customFormat="1" ht="34.5" customHeight="1">
      <c r="A498" s="19" t="s">
        <v>687</v>
      </c>
      <c r="B498" s="66" t="s">
        <v>688</v>
      </c>
      <c r="C498" s="68"/>
      <c r="D498" s="59">
        <v>1500</v>
      </c>
      <c r="E498" s="56">
        <v>220</v>
      </c>
      <c r="F498" s="48">
        <v>28.6</v>
      </c>
      <c r="G498" s="83"/>
      <c r="H498" s="37">
        <f>E498*G498</f>
        <v>0</v>
      </c>
      <c r="I498" s="39">
        <f>G498*F498</f>
        <v>0</v>
      </c>
    </row>
    <row r="499" spans="1:9" s="1" customFormat="1" ht="34.5" customHeight="1">
      <c r="A499" s="19" t="s">
        <v>686</v>
      </c>
      <c r="B499" s="66" t="s">
        <v>786</v>
      </c>
      <c r="C499" s="68"/>
      <c r="D499" s="59">
        <v>1500</v>
      </c>
      <c r="E499" s="56">
        <v>225</v>
      </c>
      <c r="F499" s="48">
        <v>29.3</v>
      </c>
      <c r="G499" s="83"/>
      <c r="H499" s="37">
        <f>E499*G499</f>
        <v>0</v>
      </c>
      <c r="I499" s="39">
        <f>G499*F499</f>
        <v>0</v>
      </c>
    </row>
    <row r="500" spans="1:9" s="1" customFormat="1" ht="34.5" customHeight="1">
      <c r="A500" s="19" t="s">
        <v>897</v>
      </c>
      <c r="B500" s="66" t="s">
        <v>898</v>
      </c>
      <c r="C500" s="68"/>
      <c r="D500" s="59">
        <v>5</v>
      </c>
      <c r="E500" s="56">
        <v>100</v>
      </c>
      <c r="F500" s="48">
        <v>13</v>
      </c>
      <c r="G500" s="83"/>
      <c r="H500" s="37">
        <f>E500*G500</f>
        <v>0</v>
      </c>
      <c r="I500" s="39">
        <f>G500*F500</f>
        <v>0</v>
      </c>
    </row>
    <row r="501" spans="1:9" s="1" customFormat="1" ht="34.5" customHeight="1">
      <c r="A501" s="19" t="s">
        <v>350</v>
      </c>
      <c r="B501" s="66" t="s">
        <v>351</v>
      </c>
      <c r="C501" s="68"/>
      <c r="D501" s="59">
        <v>85</v>
      </c>
      <c r="E501" s="56">
        <v>142</v>
      </c>
      <c r="F501" s="48">
        <v>18.5</v>
      </c>
      <c r="G501" s="83"/>
      <c r="H501" s="37">
        <f>E501*G501</f>
        <v>0</v>
      </c>
      <c r="I501" s="39">
        <f>G501*F501</f>
        <v>0</v>
      </c>
    </row>
    <row r="502" spans="1:9" s="1" customFormat="1" ht="34.5" customHeight="1">
      <c r="A502" s="19" t="s">
        <v>361</v>
      </c>
      <c r="B502" s="66" t="s">
        <v>362</v>
      </c>
      <c r="C502" s="68"/>
      <c r="D502" s="59">
        <v>396</v>
      </c>
      <c r="E502" s="56">
        <v>80</v>
      </c>
      <c r="F502" s="48">
        <v>10.4</v>
      </c>
      <c r="G502" s="83"/>
      <c r="H502" s="37">
        <f>E502*G502</f>
        <v>0</v>
      </c>
      <c r="I502" s="39">
        <f>G502*F502</f>
        <v>0</v>
      </c>
    </row>
    <row r="503" spans="1:9" s="1" customFormat="1" ht="34.5" customHeight="1">
      <c r="A503" s="19" t="s">
        <v>355</v>
      </c>
      <c r="B503" s="66" t="s">
        <v>356</v>
      </c>
      <c r="C503" s="68"/>
      <c r="D503" s="59">
        <v>617</v>
      </c>
      <c r="E503" s="56">
        <v>48</v>
      </c>
      <c r="F503" s="48">
        <v>6.3</v>
      </c>
      <c r="G503" s="83"/>
      <c r="H503" s="37">
        <f>E503*G503</f>
        <v>0</v>
      </c>
      <c r="I503" s="39">
        <f>G503*F503</f>
        <v>0</v>
      </c>
    </row>
    <row r="504" spans="1:9" s="1" customFormat="1" ht="34.5" customHeight="1">
      <c r="A504" s="19" t="s">
        <v>353</v>
      </c>
      <c r="B504" s="66" t="s">
        <v>354</v>
      </c>
      <c r="C504" s="68"/>
      <c r="D504" s="59">
        <v>430</v>
      </c>
      <c r="E504" s="56">
        <v>68</v>
      </c>
      <c r="F504" s="48">
        <v>8.9</v>
      </c>
      <c r="G504" s="83"/>
      <c r="H504" s="37">
        <f>E504*G504</f>
        <v>0</v>
      </c>
      <c r="I504" s="39">
        <f>G504*F504</f>
        <v>0</v>
      </c>
    </row>
    <row r="505" spans="1:9" s="1" customFormat="1" ht="34.5" customHeight="1">
      <c r="A505" s="19" t="s">
        <v>357</v>
      </c>
      <c r="B505" s="66" t="s">
        <v>358</v>
      </c>
      <c r="C505" s="68"/>
      <c r="D505" s="59">
        <v>460</v>
      </c>
      <c r="E505" s="56">
        <v>59</v>
      </c>
      <c r="F505" s="48">
        <v>7.6999999999999993</v>
      </c>
      <c r="G505" s="83"/>
      <c r="H505" s="37">
        <f>E505*G505</f>
        <v>0</v>
      </c>
      <c r="I505" s="39">
        <f>G505*F505</f>
        <v>0</v>
      </c>
    </row>
    <row r="506" spans="1:9" s="1" customFormat="1" ht="34.5" customHeight="1">
      <c r="A506" s="19" t="s">
        <v>359</v>
      </c>
      <c r="B506" s="66" t="s">
        <v>360</v>
      </c>
      <c r="C506" s="68"/>
      <c r="D506" s="59">
        <v>586</v>
      </c>
      <c r="E506" s="56">
        <v>45</v>
      </c>
      <c r="F506" s="48">
        <v>5.8999999999999995</v>
      </c>
      <c r="G506" s="83"/>
      <c r="H506" s="37">
        <f>E506*G506</f>
        <v>0</v>
      </c>
      <c r="I506" s="39">
        <f>G506*F506</f>
        <v>0</v>
      </c>
    </row>
    <row r="507" spans="1:9" s="1" customFormat="1" ht="34.5" customHeight="1">
      <c r="A507" s="19" t="s">
        <v>364</v>
      </c>
      <c r="B507" s="66" t="s">
        <v>365</v>
      </c>
      <c r="C507" s="68"/>
      <c r="D507" s="59">
        <v>60</v>
      </c>
      <c r="E507" s="56">
        <v>130</v>
      </c>
      <c r="F507" s="48">
        <v>16.900000000000002</v>
      </c>
      <c r="G507" s="83"/>
      <c r="H507" s="37">
        <f>E507*G507</f>
        <v>0</v>
      </c>
      <c r="I507" s="39">
        <f>G507*F507</f>
        <v>0</v>
      </c>
    </row>
    <row r="508" spans="1:9" s="1" customFormat="1" ht="34.5" customHeight="1">
      <c r="A508" s="19"/>
      <c r="B508" s="66" t="s">
        <v>581</v>
      </c>
      <c r="C508" s="68"/>
      <c r="D508" s="59">
        <v>100</v>
      </c>
      <c r="E508" s="56">
        <v>100</v>
      </c>
      <c r="F508" s="48">
        <v>13</v>
      </c>
      <c r="G508" s="83"/>
      <c r="H508" s="37">
        <f>E508*G508</f>
        <v>0</v>
      </c>
      <c r="I508" s="39">
        <f>G508*F508</f>
        <v>0</v>
      </c>
    </row>
    <row r="509" spans="1:9" s="1" customFormat="1" ht="34.5" customHeight="1">
      <c r="A509" s="19"/>
      <c r="B509" s="66" t="s">
        <v>579</v>
      </c>
      <c r="C509" s="68"/>
      <c r="D509" s="59">
        <v>50</v>
      </c>
      <c r="E509" s="56">
        <v>108</v>
      </c>
      <c r="F509" s="48">
        <v>14.1</v>
      </c>
      <c r="G509" s="83"/>
      <c r="H509" s="37">
        <f>E509*G509</f>
        <v>0</v>
      </c>
      <c r="I509" s="39">
        <f>G509*F509</f>
        <v>0</v>
      </c>
    </row>
    <row r="510" spans="1:9" s="1" customFormat="1" ht="34.5" customHeight="1">
      <c r="A510" s="19"/>
      <c r="B510" s="66" t="s">
        <v>578</v>
      </c>
      <c r="C510" s="68"/>
      <c r="D510" s="59">
        <v>50</v>
      </c>
      <c r="E510" s="56">
        <v>100</v>
      </c>
      <c r="F510" s="48">
        <v>13</v>
      </c>
      <c r="G510" s="83"/>
      <c r="H510" s="37">
        <f>E510*G510</f>
        <v>0</v>
      </c>
      <c r="I510" s="39">
        <f>G510*F510</f>
        <v>0</v>
      </c>
    </row>
    <row r="511" spans="1:9" s="1" customFormat="1" ht="34.5" customHeight="1">
      <c r="A511" s="19" t="s">
        <v>363</v>
      </c>
      <c r="B511" s="66" t="s">
        <v>1025</v>
      </c>
      <c r="C511" s="68"/>
      <c r="D511" s="59">
        <v>40</v>
      </c>
      <c r="E511" s="56">
        <v>100</v>
      </c>
      <c r="F511" s="48">
        <v>13</v>
      </c>
      <c r="G511" s="83"/>
      <c r="H511" s="37">
        <f>E511*G511</f>
        <v>0</v>
      </c>
      <c r="I511" s="39">
        <f>G511*F511</f>
        <v>0</v>
      </c>
    </row>
    <row r="512" spans="1:9" s="1" customFormat="1" ht="34.5" customHeight="1">
      <c r="A512" s="19"/>
      <c r="B512" s="66" t="s">
        <v>580</v>
      </c>
      <c r="C512" s="68"/>
      <c r="D512" s="59">
        <v>30</v>
      </c>
      <c r="E512" s="56">
        <v>120</v>
      </c>
      <c r="F512" s="48">
        <v>15.6</v>
      </c>
      <c r="G512" s="83"/>
      <c r="H512" s="37">
        <f>E512*G512</f>
        <v>0</v>
      </c>
      <c r="I512" s="39">
        <f>G512*F512</f>
        <v>0</v>
      </c>
    </row>
    <row r="513" spans="1:9" s="1" customFormat="1" ht="34.5" customHeight="1">
      <c r="A513" s="19" t="s">
        <v>25</v>
      </c>
      <c r="B513" s="66" t="s">
        <v>26</v>
      </c>
      <c r="C513" s="68"/>
      <c r="D513" s="59">
        <v>100</v>
      </c>
      <c r="E513" s="56">
        <v>50</v>
      </c>
      <c r="F513" s="48">
        <v>6.5</v>
      </c>
      <c r="G513" s="83"/>
      <c r="H513" s="37">
        <f>E513*G513</f>
        <v>0</v>
      </c>
      <c r="I513" s="39">
        <f>G513*F513</f>
        <v>0</v>
      </c>
    </row>
    <row r="514" spans="1:9" s="1" customFormat="1" ht="34.5" customHeight="1">
      <c r="A514" s="19" t="s">
        <v>1028</v>
      </c>
      <c r="B514" s="66" t="s">
        <v>1029</v>
      </c>
      <c r="C514" s="68"/>
      <c r="D514" s="59">
        <v>1000</v>
      </c>
      <c r="E514" s="56">
        <v>88</v>
      </c>
      <c r="F514" s="48">
        <v>11.5</v>
      </c>
      <c r="G514" s="83"/>
      <c r="H514" s="37">
        <f>E514*G514</f>
        <v>0</v>
      </c>
      <c r="I514" s="39">
        <f>G514*F514</f>
        <v>0</v>
      </c>
    </row>
    <row r="515" spans="1:9" s="1" customFormat="1" ht="34.5" customHeight="1">
      <c r="A515" s="19" t="s">
        <v>1026</v>
      </c>
      <c r="B515" s="66" t="s">
        <v>1027</v>
      </c>
      <c r="C515" s="68"/>
      <c r="D515" s="59">
        <v>200</v>
      </c>
      <c r="E515" s="56">
        <v>148</v>
      </c>
      <c r="F515" s="48">
        <v>19.3</v>
      </c>
      <c r="G515" s="83"/>
      <c r="H515" s="37">
        <f>E515*G515</f>
        <v>0</v>
      </c>
      <c r="I515" s="39">
        <f>G515*F515</f>
        <v>0</v>
      </c>
    </row>
    <row r="516" spans="1:9" s="1" customFormat="1" ht="34.5" customHeight="1">
      <c r="A516" s="19" t="s">
        <v>1030</v>
      </c>
      <c r="B516" s="66" t="s">
        <v>1031</v>
      </c>
      <c r="C516" s="68"/>
      <c r="D516" s="59">
        <v>500</v>
      </c>
      <c r="E516" s="56">
        <v>148</v>
      </c>
      <c r="F516" s="48">
        <v>19.3</v>
      </c>
      <c r="G516" s="83"/>
      <c r="H516" s="37">
        <f>E516*G516</f>
        <v>0</v>
      </c>
      <c r="I516" s="39">
        <f>G516*F516</f>
        <v>0</v>
      </c>
    </row>
    <row r="517" spans="1:9" s="1" customFormat="1" ht="34.5" customHeight="1">
      <c r="A517" s="19" t="s">
        <v>135</v>
      </c>
      <c r="B517" s="66" t="s">
        <v>927</v>
      </c>
      <c r="C517" s="68"/>
      <c r="D517" s="59">
        <v>1000</v>
      </c>
      <c r="E517" s="56">
        <v>86</v>
      </c>
      <c r="F517" s="48">
        <v>11.2</v>
      </c>
      <c r="G517" s="83"/>
      <c r="H517" s="37">
        <f>E517*G517</f>
        <v>0</v>
      </c>
      <c r="I517" s="39">
        <f>G517*F517</f>
        <v>0</v>
      </c>
    </row>
    <row r="518" spans="1:9" s="1" customFormat="1" ht="34.5" customHeight="1">
      <c r="A518" s="19" t="s">
        <v>510</v>
      </c>
      <c r="B518" s="66" t="s">
        <v>926</v>
      </c>
      <c r="C518" s="68"/>
      <c r="D518" s="59">
        <v>100</v>
      </c>
      <c r="E518" s="56">
        <v>274</v>
      </c>
      <c r="F518" s="48">
        <v>35.6</v>
      </c>
      <c r="G518" s="83"/>
      <c r="H518" s="37">
        <f>E518*G518</f>
        <v>0</v>
      </c>
      <c r="I518" s="39">
        <f>G518*F518</f>
        <v>0</v>
      </c>
    </row>
    <row r="519" spans="1:9" s="1" customFormat="1" ht="34.5" customHeight="1">
      <c r="A519" s="19" t="s">
        <v>366</v>
      </c>
      <c r="B519" s="66" t="s">
        <v>925</v>
      </c>
      <c r="C519" s="68"/>
      <c r="D519" s="59">
        <v>1000</v>
      </c>
      <c r="E519" s="56">
        <v>272</v>
      </c>
      <c r="F519" s="48">
        <v>35.4</v>
      </c>
      <c r="G519" s="83"/>
      <c r="H519" s="37">
        <f>E519*G519</f>
        <v>0</v>
      </c>
      <c r="I519" s="39">
        <f>G519*F519</f>
        <v>0</v>
      </c>
    </row>
    <row r="520" spans="1:9" s="1" customFormat="1" ht="34.5" customHeight="1">
      <c r="A520" s="19" t="s">
        <v>77</v>
      </c>
      <c r="B520" s="66" t="s">
        <v>78</v>
      </c>
      <c r="C520" s="68"/>
      <c r="D520" s="59">
        <v>40</v>
      </c>
      <c r="E520" s="56">
        <v>111</v>
      </c>
      <c r="F520" s="48">
        <v>14.5</v>
      </c>
      <c r="G520" s="83"/>
      <c r="H520" s="37">
        <f>E520*G520</f>
        <v>0</v>
      </c>
      <c r="I520" s="39">
        <f>G520*F520</f>
        <v>0</v>
      </c>
    </row>
    <row r="521" spans="1:9" s="1" customFormat="1" ht="34.5" customHeight="1">
      <c r="A521" s="19" t="s">
        <v>127</v>
      </c>
      <c r="B521" s="66" t="s">
        <v>128</v>
      </c>
      <c r="C521" s="68"/>
      <c r="D521" s="59">
        <v>50</v>
      </c>
      <c r="E521" s="56">
        <v>138</v>
      </c>
      <c r="F521" s="48">
        <v>18</v>
      </c>
      <c r="G521" s="83"/>
      <c r="H521" s="37">
        <f>E521*G521</f>
        <v>0</v>
      </c>
      <c r="I521" s="39">
        <f>G521*F521</f>
        <v>0</v>
      </c>
    </row>
    <row r="522" spans="1:9" s="1" customFormat="1" ht="34.5" customHeight="1">
      <c r="A522" s="19" t="s">
        <v>55</v>
      </c>
      <c r="B522" s="66" t="s">
        <v>56</v>
      </c>
      <c r="C522" s="68"/>
      <c r="D522" s="59">
        <v>240</v>
      </c>
      <c r="E522" s="56">
        <v>51</v>
      </c>
      <c r="F522" s="48">
        <v>6.6999999999999993</v>
      </c>
      <c r="G522" s="83"/>
      <c r="H522" s="37">
        <f>E522*G522</f>
        <v>0</v>
      </c>
      <c r="I522" s="39">
        <f>G522*F522</f>
        <v>0</v>
      </c>
    </row>
    <row r="523" spans="1:9" s="1" customFormat="1" ht="34.5" customHeight="1">
      <c r="A523" s="19" t="s">
        <v>65</v>
      </c>
      <c r="B523" s="66" t="s">
        <v>66</v>
      </c>
      <c r="C523" s="68"/>
      <c r="D523" s="59">
        <v>30</v>
      </c>
      <c r="E523" s="56">
        <v>86</v>
      </c>
      <c r="F523" s="48">
        <v>11.2</v>
      </c>
      <c r="G523" s="83"/>
      <c r="H523" s="37">
        <f>E523*G523</f>
        <v>0</v>
      </c>
      <c r="I523" s="39">
        <f>G523*F523</f>
        <v>0</v>
      </c>
    </row>
    <row r="524" spans="1:9" s="1" customFormat="1" ht="34.5" customHeight="1">
      <c r="A524" s="19" t="s">
        <v>67</v>
      </c>
      <c r="B524" s="66" t="s">
        <v>68</v>
      </c>
      <c r="C524" s="68"/>
      <c r="D524" s="59">
        <v>30</v>
      </c>
      <c r="E524" s="56">
        <v>86</v>
      </c>
      <c r="F524" s="48">
        <v>11.2</v>
      </c>
      <c r="G524" s="83"/>
      <c r="H524" s="37">
        <f>E524*G524</f>
        <v>0</v>
      </c>
      <c r="I524" s="39">
        <f>G524*F524</f>
        <v>0</v>
      </c>
    </row>
    <row r="525" spans="1:9" s="1" customFormat="1" ht="34.5" customHeight="1">
      <c r="A525" s="19" t="s">
        <v>99</v>
      </c>
      <c r="B525" s="66" t="s">
        <v>1232</v>
      </c>
      <c r="C525" s="68"/>
      <c r="D525" s="59">
        <v>235</v>
      </c>
      <c r="E525" s="56">
        <v>142</v>
      </c>
      <c r="F525" s="48">
        <v>18.5</v>
      </c>
      <c r="G525" s="83"/>
      <c r="H525" s="37">
        <f>E525*G525</f>
        <v>0</v>
      </c>
      <c r="I525" s="39">
        <f>G525*F525</f>
        <v>0</v>
      </c>
    </row>
    <row r="526" spans="1:9" s="1" customFormat="1" ht="34.5" customHeight="1">
      <c r="A526" s="19" t="s">
        <v>102</v>
      </c>
      <c r="B526" s="66" t="s">
        <v>1235</v>
      </c>
      <c r="C526" s="68"/>
      <c r="D526" s="59">
        <v>220</v>
      </c>
      <c r="E526" s="56">
        <v>142</v>
      </c>
      <c r="F526" s="48">
        <v>18.5</v>
      </c>
      <c r="G526" s="83"/>
      <c r="H526" s="37">
        <f>E526*G526</f>
        <v>0</v>
      </c>
      <c r="I526" s="39">
        <f>G526*F526</f>
        <v>0</v>
      </c>
    </row>
    <row r="527" spans="1:9" s="1" customFormat="1" ht="34.5" customHeight="1">
      <c r="A527" s="19" t="s">
        <v>590</v>
      </c>
      <c r="B527" s="66" t="s">
        <v>591</v>
      </c>
      <c r="C527" s="68"/>
      <c r="D527" s="59">
        <v>1000</v>
      </c>
      <c r="E527" s="56">
        <v>125</v>
      </c>
      <c r="F527" s="48">
        <v>16.3</v>
      </c>
      <c r="G527" s="83"/>
      <c r="H527" s="37">
        <f>E527*G527</f>
        <v>0</v>
      </c>
      <c r="I527" s="39">
        <f>G527*F527</f>
        <v>0</v>
      </c>
    </row>
    <row r="528" spans="1:9" s="1" customFormat="1" ht="34.5" customHeight="1">
      <c r="A528" s="19" t="s">
        <v>107</v>
      </c>
      <c r="B528" s="66" t="s">
        <v>108</v>
      </c>
      <c r="C528" s="68"/>
      <c r="D528" s="59">
        <v>25</v>
      </c>
      <c r="E528" s="56">
        <v>153</v>
      </c>
      <c r="F528" s="48">
        <v>19.900000000000002</v>
      </c>
      <c r="G528" s="83"/>
      <c r="H528" s="37">
        <f>E528*G528</f>
        <v>0</v>
      </c>
      <c r="I528" s="39">
        <f>G528*F528</f>
        <v>0</v>
      </c>
    </row>
    <row r="529" spans="1:9" s="1" customFormat="1" ht="34.5" customHeight="1">
      <c r="A529" s="19" t="s">
        <v>109</v>
      </c>
      <c r="B529" s="66" t="s">
        <v>110</v>
      </c>
      <c r="C529" s="68"/>
      <c r="D529" s="59">
        <v>30</v>
      </c>
      <c r="E529" s="56">
        <v>153</v>
      </c>
      <c r="F529" s="48">
        <v>19.900000000000002</v>
      </c>
      <c r="G529" s="83"/>
      <c r="H529" s="37">
        <f>E529*G529</f>
        <v>0</v>
      </c>
      <c r="I529" s="39">
        <f>G529*F529</f>
        <v>0</v>
      </c>
    </row>
    <row r="530" spans="1:9" s="1" customFormat="1" ht="34.5" customHeight="1">
      <c r="A530" s="19" t="s">
        <v>53</v>
      </c>
      <c r="B530" s="66" t="s">
        <v>54</v>
      </c>
      <c r="C530" s="68"/>
      <c r="D530" s="59">
        <v>20</v>
      </c>
      <c r="E530" s="56">
        <v>66</v>
      </c>
      <c r="F530" s="48">
        <v>8.6</v>
      </c>
      <c r="G530" s="83"/>
      <c r="H530" s="37">
        <f>E530*G530</f>
        <v>0</v>
      </c>
      <c r="I530" s="39">
        <f>G530*F530</f>
        <v>0</v>
      </c>
    </row>
    <row r="531" spans="1:9" s="1" customFormat="1" ht="34.5" customHeight="1">
      <c r="A531" s="19" t="s">
        <v>117</v>
      </c>
      <c r="B531" s="66" t="s">
        <v>118</v>
      </c>
      <c r="C531" s="68"/>
      <c r="D531" s="59">
        <v>30</v>
      </c>
      <c r="E531" s="56">
        <v>93</v>
      </c>
      <c r="F531" s="48">
        <v>12.1</v>
      </c>
      <c r="G531" s="83"/>
      <c r="H531" s="37">
        <f>E531*G531</f>
        <v>0</v>
      </c>
      <c r="I531" s="39">
        <f>G531*F531</f>
        <v>0</v>
      </c>
    </row>
    <row r="532" spans="1:9" s="1" customFormat="1" ht="34.5" customHeight="1">
      <c r="A532" s="19" t="s">
        <v>119</v>
      </c>
      <c r="B532" s="66" t="s">
        <v>120</v>
      </c>
      <c r="C532" s="68"/>
      <c r="D532" s="59">
        <v>60</v>
      </c>
      <c r="E532" s="56">
        <v>93</v>
      </c>
      <c r="F532" s="48">
        <v>12.1</v>
      </c>
      <c r="G532" s="83"/>
      <c r="H532" s="37">
        <f>E532*G532</f>
        <v>0</v>
      </c>
      <c r="I532" s="39">
        <f>G532*F532</f>
        <v>0</v>
      </c>
    </row>
    <row r="533" spans="1:9" s="1" customFormat="1" ht="34.5" customHeight="1">
      <c r="A533" s="19" t="s">
        <v>69</v>
      </c>
      <c r="B533" s="66" t="s">
        <v>70</v>
      </c>
      <c r="C533" s="68"/>
      <c r="D533" s="59">
        <v>30</v>
      </c>
      <c r="E533" s="56">
        <v>80</v>
      </c>
      <c r="F533" s="48">
        <v>10.4</v>
      </c>
      <c r="G533" s="83"/>
      <c r="H533" s="37">
        <f>E533*G533</f>
        <v>0</v>
      </c>
      <c r="I533" s="39">
        <f>G533*F533</f>
        <v>0</v>
      </c>
    </row>
    <row r="534" spans="1:9" s="1" customFormat="1" ht="34.5" customHeight="1">
      <c r="A534" s="19" t="s">
        <v>153</v>
      </c>
      <c r="B534" s="66" t="s">
        <v>154</v>
      </c>
      <c r="C534" s="68"/>
      <c r="D534" s="59">
        <v>30</v>
      </c>
      <c r="E534" s="56">
        <v>80</v>
      </c>
      <c r="F534" s="48">
        <v>10.4</v>
      </c>
      <c r="G534" s="83"/>
      <c r="H534" s="37">
        <f>E534*G534</f>
        <v>0</v>
      </c>
      <c r="I534" s="39">
        <f>G534*F534</f>
        <v>0</v>
      </c>
    </row>
    <row r="535" spans="1:9" s="1" customFormat="1" ht="34.5" customHeight="1">
      <c r="A535" s="19" t="s">
        <v>57</v>
      </c>
      <c r="B535" s="66" t="s">
        <v>58</v>
      </c>
      <c r="C535" s="68"/>
      <c r="D535" s="59">
        <v>40</v>
      </c>
      <c r="E535" s="56">
        <v>80</v>
      </c>
      <c r="F535" s="48">
        <v>10.4</v>
      </c>
      <c r="G535" s="83"/>
      <c r="H535" s="37">
        <f>E535*G535</f>
        <v>0</v>
      </c>
      <c r="I535" s="39">
        <f>G535*F535</f>
        <v>0</v>
      </c>
    </row>
    <row r="536" spans="1:9" s="1" customFormat="1" ht="34.5" customHeight="1">
      <c r="A536" s="19" t="s">
        <v>59</v>
      </c>
      <c r="B536" s="66" t="s">
        <v>60</v>
      </c>
      <c r="C536" s="68"/>
      <c r="D536" s="59">
        <v>40</v>
      </c>
      <c r="E536" s="56">
        <v>80</v>
      </c>
      <c r="F536" s="48">
        <v>10.4</v>
      </c>
      <c r="G536" s="83"/>
      <c r="H536" s="37">
        <f>E536*G536</f>
        <v>0</v>
      </c>
      <c r="I536" s="39">
        <f>G536*F536</f>
        <v>0</v>
      </c>
    </row>
    <row r="537" spans="1:9" s="1" customFormat="1" ht="34.5" customHeight="1">
      <c r="A537" s="19" t="s">
        <v>95</v>
      </c>
      <c r="B537" s="66" t="s">
        <v>96</v>
      </c>
      <c r="C537" s="68"/>
      <c r="D537" s="59">
        <v>535</v>
      </c>
      <c r="E537" s="56">
        <v>72</v>
      </c>
      <c r="F537" s="48">
        <v>9.4</v>
      </c>
      <c r="G537" s="83"/>
      <c r="H537" s="37">
        <f>E537*G537</f>
        <v>0</v>
      </c>
      <c r="I537" s="39">
        <f>G537*F537</f>
        <v>0</v>
      </c>
    </row>
    <row r="538" spans="1:9" s="1" customFormat="1" ht="34.5" customHeight="1">
      <c r="A538" s="19" t="s">
        <v>100</v>
      </c>
      <c r="B538" s="66" t="s">
        <v>1233</v>
      </c>
      <c r="C538" s="68"/>
      <c r="D538" s="59">
        <v>40</v>
      </c>
      <c r="E538" s="56">
        <v>124</v>
      </c>
      <c r="F538" s="48">
        <v>16.200000000000003</v>
      </c>
      <c r="G538" s="83"/>
      <c r="H538" s="37">
        <f>E538*G538</f>
        <v>0</v>
      </c>
      <c r="I538" s="39">
        <f>G538*F538</f>
        <v>0</v>
      </c>
    </row>
    <row r="539" spans="1:9" s="1" customFormat="1" ht="34.5" customHeight="1">
      <c r="A539" s="19" t="s">
        <v>101</v>
      </c>
      <c r="B539" s="66" t="s">
        <v>1234</v>
      </c>
      <c r="C539" s="68"/>
      <c r="D539" s="59">
        <v>40</v>
      </c>
      <c r="E539" s="56">
        <v>124</v>
      </c>
      <c r="F539" s="48">
        <v>16.200000000000003</v>
      </c>
      <c r="G539" s="83"/>
      <c r="H539" s="37">
        <f>E539*G539</f>
        <v>0</v>
      </c>
      <c r="I539" s="39">
        <f>G539*F539</f>
        <v>0</v>
      </c>
    </row>
    <row r="540" spans="1:9" s="1" customFormat="1" ht="34.5" customHeight="1">
      <c r="A540" s="19" t="s">
        <v>97</v>
      </c>
      <c r="B540" s="66" t="s">
        <v>98</v>
      </c>
      <c r="C540" s="68"/>
      <c r="D540" s="59">
        <v>40</v>
      </c>
      <c r="E540" s="56">
        <v>34</v>
      </c>
      <c r="F540" s="48">
        <v>4.5</v>
      </c>
      <c r="G540" s="83"/>
      <c r="H540" s="37">
        <f>E540*G540</f>
        <v>0</v>
      </c>
      <c r="I540" s="39">
        <f>G540*F540</f>
        <v>0</v>
      </c>
    </row>
    <row r="541" spans="1:9" s="1" customFormat="1" ht="34.5" customHeight="1">
      <c r="A541" s="19" t="s">
        <v>133</v>
      </c>
      <c r="B541" s="66" t="s">
        <v>134</v>
      </c>
      <c r="C541" s="68"/>
      <c r="D541" s="59">
        <v>55</v>
      </c>
      <c r="E541" s="56">
        <v>110</v>
      </c>
      <c r="F541" s="48">
        <v>14.299999999999999</v>
      </c>
      <c r="G541" s="83"/>
      <c r="H541" s="37">
        <f>E541*G541</f>
        <v>0</v>
      </c>
      <c r="I541" s="39">
        <f>G541*F541</f>
        <v>0</v>
      </c>
    </row>
    <row r="542" spans="1:9" s="1" customFormat="1" ht="34.5" customHeight="1">
      <c r="A542" s="19" t="s">
        <v>79</v>
      </c>
      <c r="B542" s="66" t="s">
        <v>80</v>
      </c>
      <c r="C542" s="68"/>
      <c r="D542" s="59">
        <v>100</v>
      </c>
      <c r="E542" s="56">
        <v>62</v>
      </c>
      <c r="F542" s="48">
        <v>8.1</v>
      </c>
      <c r="G542" s="83"/>
      <c r="H542" s="37">
        <f>E542*G542</f>
        <v>0</v>
      </c>
      <c r="I542" s="39">
        <f>G542*F542</f>
        <v>0</v>
      </c>
    </row>
    <row r="543" spans="1:9" s="1" customFormat="1" ht="34.5" customHeight="1">
      <c r="A543" s="19" t="s">
        <v>75</v>
      </c>
      <c r="B543" s="66" t="s">
        <v>76</v>
      </c>
      <c r="C543" s="68"/>
      <c r="D543" s="59">
        <v>50</v>
      </c>
      <c r="E543" s="56">
        <v>150</v>
      </c>
      <c r="F543" s="48">
        <v>19.5</v>
      </c>
      <c r="G543" s="83"/>
      <c r="H543" s="37">
        <f>E543*G543</f>
        <v>0</v>
      </c>
      <c r="I543" s="39">
        <f>G543*F543</f>
        <v>0</v>
      </c>
    </row>
    <row r="544" spans="1:9" s="1" customFormat="1" ht="34.5" customHeight="1">
      <c r="A544" s="19" t="s">
        <v>1222</v>
      </c>
      <c r="B544" s="66" t="s">
        <v>1223</v>
      </c>
      <c r="C544" s="68"/>
      <c r="D544" s="59">
        <v>1000</v>
      </c>
      <c r="E544" s="56">
        <v>125</v>
      </c>
      <c r="F544" s="48">
        <v>16.3</v>
      </c>
      <c r="G544" s="83"/>
      <c r="H544" s="37">
        <f>E544*G544</f>
        <v>0</v>
      </c>
      <c r="I544" s="39">
        <f>G544*F544</f>
        <v>0</v>
      </c>
    </row>
    <row r="545" spans="1:9" s="1" customFormat="1" ht="34.5" customHeight="1">
      <c r="A545" s="19" t="s">
        <v>129</v>
      </c>
      <c r="B545" s="66" t="s">
        <v>130</v>
      </c>
      <c r="C545" s="68"/>
      <c r="D545" s="59">
        <v>1000</v>
      </c>
      <c r="E545" s="56">
        <v>125</v>
      </c>
      <c r="F545" s="48">
        <v>16.3</v>
      </c>
      <c r="G545" s="83"/>
      <c r="H545" s="37">
        <f>E545*G545</f>
        <v>0</v>
      </c>
      <c r="I545" s="39">
        <f>G545*F545</f>
        <v>0</v>
      </c>
    </row>
    <row r="546" spans="1:9" s="1" customFormat="1" ht="34.5" customHeight="1">
      <c r="A546" s="19" t="s">
        <v>131</v>
      </c>
      <c r="B546" s="66" t="s">
        <v>132</v>
      </c>
      <c r="C546" s="68"/>
      <c r="D546" s="59">
        <v>1000</v>
      </c>
      <c r="E546" s="56">
        <v>125</v>
      </c>
      <c r="F546" s="48">
        <v>16.3</v>
      </c>
      <c r="G546" s="83"/>
      <c r="H546" s="37">
        <f>E546*G546</f>
        <v>0</v>
      </c>
      <c r="I546" s="39">
        <f>G546*F546</f>
        <v>0</v>
      </c>
    </row>
    <row r="547" spans="1:9" s="1" customFormat="1" ht="34.5" customHeight="1">
      <c r="A547" s="19" t="s">
        <v>93</v>
      </c>
      <c r="B547" s="66" t="s">
        <v>94</v>
      </c>
      <c r="C547" s="68"/>
      <c r="D547" s="59">
        <v>50</v>
      </c>
      <c r="E547" s="56">
        <v>150</v>
      </c>
      <c r="F547" s="48">
        <v>19.5</v>
      </c>
      <c r="G547" s="83"/>
      <c r="H547" s="37">
        <f>E547*G547</f>
        <v>0</v>
      </c>
      <c r="I547" s="39">
        <f>G547*F547</f>
        <v>0</v>
      </c>
    </row>
    <row r="548" spans="1:9" s="1" customFormat="1" ht="34.5" customHeight="1">
      <c r="A548" s="19" t="s">
        <v>582</v>
      </c>
      <c r="B548" s="66" t="s">
        <v>583</v>
      </c>
      <c r="C548" s="68"/>
      <c r="D548" s="59">
        <v>1000</v>
      </c>
      <c r="E548" s="56">
        <v>125</v>
      </c>
      <c r="F548" s="48">
        <v>16.3</v>
      </c>
      <c r="G548" s="83"/>
      <c r="H548" s="37">
        <f>E548*G548</f>
        <v>0</v>
      </c>
      <c r="I548" s="39">
        <f>G548*F548</f>
        <v>0</v>
      </c>
    </row>
    <row r="549" spans="1:9" s="1" customFormat="1" ht="34.5" customHeight="1">
      <c r="A549" s="19" t="s">
        <v>588</v>
      </c>
      <c r="B549" s="66" t="s">
        <v>589</v>
      </c>
      <c r="C549" s="68"/>
      <c r="D549" s="59">
        <v>1000</v>
      </c>
      <c r="E549" s="56">
        <v>125</v>
      </c>
      <c r="F549" s="48">
        <v>16.3</v>
      </c>
      <c r="G549" s="83"/>
      <c r="H549" s="37">
        <f>E549*G549</f>
        <v>0</v>
      </c>
      <c r="I549" s="39">
        <f>G549*F549</f>
        <v>0</v>
      </c>
    </row>
    <row r="550" spans="1:9" s="1" customFormat="1" ht="34.5" customHeight="1">
      <c r="A550" s="19" t="s">
        <v>481</v>
      </c>
      <c r="B550" s="66" t="s">
        <v>482</v>
      </c>
      <c r="C550" s="68"/>
      <c r="D550" s="59">
        <v>100</v>
      </c>
      <c r="E550" s="56">
        <v>125</v>
      </c>
      <c r="F550" s="48">
        <v>16.3</v>
      </c>
      <c r="G550" s="83"/>
      <c r="H550" s="37">
        <f>E550*G550</f>
        <v>0</v>
      </c>
      <c r="I550" s="39">
        <f>G550*F550</f>
        <v>0</v>
      </c>
    </row>
    <row r="551" spans="1:9" s="1" customFormat="1" ht="34.5" customHeight="1">
      <c r="A551" s="19" t="s">
        <v>113</v>
      </c>
      <c r="B551" s="66" t="s">
        <v>1224</v>
      </c>
      <c r="C551" s="68"/>
      <c r="D551" s="59">
        <v>40</v>
      </c>
      <c r="E551" s="56">
        <v>111</v>
      </c>
      <c r="F551" s="48">
        <v>14.5</v>
      </c>
      <c r="G551" s="83"/>
      <c r="H551" s="37">
        <f>E551*G551</f>
        <v>0</v>
      </c>
      <c r="I551" s="39">
        <f>G551*F551</f>
        <v>0</v>
      </c>
    </row>
    <row r="552" spans="1:9" s="1" customFormat="1" ht="34.5" customHeight="1">
      <c r="A552" s="19" t="s">
        <v>114</v>
      </c>
      <c r="B552" s="66" t="s">
        <v>1225</v>
      </c>
      <c r="C552" s="68"/>
      <c r="D552" s="59">
        <v>122</v>
      </c>
      <c r="E552" s="56">
        <v>111</v>
      </c>
      <c r="F552" s="48">
        <v>14.5</v>
      </c>
      <c r="G552" s="83"/>
      <c r="H552" s="37">
        <f>E552*G552</f>
        <v>0</v>
      </c>
      <c r="I552" s="39">
        <f>G552*F552</f>
        <v>0</v>
      </c>
    </row>
    <row r="553" spans="1:9" s="1" customFormat="1" ht="34.5" customHeight="1">
      <c r="A553" s="19" t="s">
        <v>111</v>
      </c>
      <c r="B553" s="66" t="s">
        <v>112</v>
      </c>
      <c r="C553" s="68"/>
      <c r="D553" s="59">
        <v>140</v>
      </c>
      <c r="E553" s="56">
        <v>58</v>
      </c>
      <c r="F553" s="48">
        <v>7.6</v>
      </c>
      <c r="G553" s="83"/>
      <c r="H553" s="37">
        <f>E553*G553</f>
        <v>0</v>
      </c>
      <c r="I553" s="39">
        <f>G553*F553</f>
        <v>0</v>
      </c>
    </row>
    <row r="554" spans="1:9" s="1" customFormat="1" ht="34.5" customHeight="1">
      <c r="A554" s="19" t="s">
        <v>103</v>
      </c>
      <c r="B554" s="66" t="s">
        <v>1228</v>
      </c>
      <c r="C554" s="68"/>
      <c r="D554" s="59">
        <v>50</v>
      </c>
      <c r="E554" s="56">
        <v>82</v>
      </c>
      <c r="F554" s="48">
        <v>10.7</v>
      </c>
      <c r="G554" s="83"/>
      <c r="H554" s="37">
        <f>E554*G554</f>
        <v>0</v>
      </c>
      <c r="I554" s="39">
        <f>G554*F554</f>
        <v>0</v>
      </c>
    </row>
    <row r="555" spans="1:9" s="1" customFormat="1" ht="34.5" customHeight="1">
      <c r="A555" s="19" t="s">
        <v>104</v>
      </c>
      <c r="B555" s="66" t="s">
        <v>1229</v>
      </c>
      <c r="C555" s="68"/>
      <c r="D555" s="59">
        <v>20</v>
      </c>
      <c r="E555" s="56">
        <v>82</v>
      </c>
      <c r="F555" s="48">
        <v>10.7</v>
      </c>
      <c r="G555" s="83"/>
      <c r="H555" s="37">
        <f>E555*G555</f>
        <v>0</v>
      </c>
      <c r="I555" s="39">
        <f>G555*F555</f>
        <v>0</v>
      </c>
    </row>
    <row r="556" spans="1:9" s="1" customFormat="1" ht="34.5" customHeight="1">
      <c r="A556" s="19" t="s">
        <v>105</v>
      </c>
      <c r="B556" s="66" t="s">
        <v>1230</v>
      </c>
      <c r="C556" s="68"/>
      <c r="D556" s="59">
        <v>20</v>
      </c>
      <c r="E556" s="56">
        <v>82</v>
      </c>
      <c r="F556" s="48">
        <v>10.7</v>
      </c>
      <c r="G556" s="83"/>
      <c r="H556" s="37">
        <f>E556*G556</f>
        <v>0</v>
      </c>
      <c r="I556" s="39">
        <f>G556*F556</f>
        <v>0</v>
      </c>
    </row>
    <row r="557" spans="1:9" s="1" customFormat="1" ht="34.5" customHeight="1">
      <c r="A557" s="19" t="s">
        <v>106</v>
      </c>
      <c r="B557" s="66" t="s">
        <v>1231</v>
      </c>
      <c r="C557" s="68"/>
      <c r="D557" s="59">
        <v>20</v>
      </c>
      <c r="E557" s="56">
        <v>82</v>
      </c>
      <c r="F557" s="48">
        <v>10.7</v>
      </c>
      <c r="G557" s="83"/>
      <c r="H557" s="37">
        <f>E557*G557</f>
        <v>0</v>
      </c>
      <c r="I557" s="39">
        <f>G557*F557</f>
        <v>0</v>
      </c>
    </row>
    <row r="558" spans="1:9" s="1" customFormat="1" ht="34.5" customHeight="1">
      <c r="A558" s="19" t="s">
        <v>584</v>
      </c>
      <c r="B558" s="66" t="s">
        <v>585</v>
      </c>
      <c r="C558" s="68"/>
      <c r="D558" s="59">
        <v>1000</v>
      </c>
      <c r="E558" s="56">
        <v>125</v>
      </c>
      <c r="F558" s="48">
        <v>16.3</v>
      </c>
      <c r="G558" s="83"/>
      <c r="H558" s="37">
        <f>E558*G558</f>
        <v>0</v>
      </c>
      <c r="I558" s="39">
        <f>G558*F558</f>
        <v>0</v>
      </c>
    </row>
    <row r="559" spans="1:9" s="1" customFormat="1" ht="34.5" customHeight="1">
      <c r="A559" s="19" t="s">
        <v>81</v>
      </c>
      <c r="B559" s="66" t="s">
        <v>1226</v>
      </c>
      <c r="C559" s="68"/>
      <c r="D559" s="59">
        <v>120</v>
      </c>
      <c r="E559" s="56">
        <v>108</v>
      </c>
      <c r="F559" s="48">
        <v>14.1</v>
      </c>
      <c r="G559" s="83"/>
      <c r="H559" s="37">
        <f>E559*G559</f>
        <v>0</v>
      </c>
      <c r="I559" s="39">
        <f>G559*F559</f>
        <v>0</v>
      </c>
    </row>
    <row r="560" spans="1:9" s="1" customFormat="1" ht="34.5" customHeight="1">
      <c r="A560" s="19" t="s">
        <v>92</v>
      </c>
      <c r="B560" s="66" t="s">
        <v>1227</v>
      </c>
      <c r="C560" s="68"/>
      <c r="D560" s="59">
        <v>120</v>
      </c>
      <c r="E560" s="56">
        <v>108</v>
      </c>
      <c r="F560" s="48">
        <v>14.1</v>
      </c>
      <c r="G560" s="83"/>
      <c r="H560" s="37">
        <f>E560*G560</f>
        <v>0</v>
      </c>
      <c r="I560" s="39">
        <f>G560*F560</f>
        <v>0</v>
      </c>
    </row>
    <row r="561" spans="1:9" s="1" customFormat="1" ht="34.5" customHeight="1">
      <c r="A561" s="19" t="s">
        <v>121</v>
      </c>
      <c r="B561" s="66" t="s">
        <v>122</v>
      </c>
      <c r="C561" s="68"/>
      <c r="D561" s="59">
        <v>50</v>
      </c>
      <c r="E561" s="56">
        <v>97</v>
      </c>
      <c r="F561" s="48">
        <v>12.6</v>
      </c>
      <c r="G561" s="83"/>
      <c r="H561" s="37">
        <f>E561*G561</f>
        <v>0</v>
      </c>
      <c r="I561" s="39">
        <f>G561*F561</f>
        <v>0</v>
      </c>
    </row>
    <row r="562" spans="1:9" s="1" customFormat="1" ht="34.5" customHeight="1">
      <c r="A562" s="19" t="s">
        <v>123</v>
      </c>
      <c r="B562" s="66" t="s">
        <v>124</v>
      </c>
      <c r="C562" s="68"/>
      <c r="D562" s="59">
        <v>50</v>
      </c>
      <c r="E562" s="56">
        <v>97</v>
      </c>
      <c r="F562" s="48">
        <v>12.6</v>
      </c>
      <c r="G562" s="83"/>
      <c r="H562" s="37">
        <f>E562*G562</f>
        <v>0</v>
      </c>
      <c r="I562" s="39">
        <f>G562*F562</f>
        <v>0</v>
      </c>
    </row>
    <row r="563" spans="1:9" s="1" customFormat="1" ht="34.5" customHeight="1">
      <c r="A563" s="19" t="s">
        <v>125</v>
      </c>
      <c r="B563" s="66" t="s">
        <v>126</v>
      </c>
      <c r="C563" s="68"/>
      <c r="D563" s="59">
        <v>30</v>
      </c>
      <c r="E563" s="56">
        <v>97</v>
      </c>
      <c r="F563" s="48">
        <v>12.6</v>
      </c>
      <c r="G563" s="83"/>
      <c r="H563" s="37">
        <f>E563*G563</f>
        <v>0</v>
      </c>
      <c r="I563" s="39">
        <f>G563*F563</f>
        <v>0</v>
      </c>
    </row>
    <row r="564" spans="1:9" s="1" customFormat="1" ht="34.5" customHeight="1">
      <c r="A564" s="19" t="s">
        <v>82</v>
      </c>
      <c r="B564" s="66" t="s">
        <v>83</v>
      </c>
      <c r="C564" s="68"/>
      <c r="D564" s="59">
        <v>35</v>
      </c>
      <c r="E564" s="56">
        <v>86</v>
      </c>
      <c r="F564" s="48">
        <v>11.2</v>
      </c>
      <c r="G564" s="83"/>
      <c r="H564" s="37">
        <f>E564*G564</f>
        <v>0</v>
      </c>
      <c r="I564" s="39">
        <f>G564*F564</f>
        <v>0</v>
      </c>
    </row>
    <row r="565" spans="1:9" s="1" customFormat="1" ht="34.5" customHeight="1">
      <c r="A565" s="19" t="s">
        <v>84</v>
      </c>
      <c r="B565" s="66" t="s">
        <v>85</v>
      </c>
      <c r="C565" s="68"/>
      <c r="D565" s="59">
        <v>20</v>
      </c>
      <c r="E565" s="56">
        <v>86</v>
      </c>
      <c r="F565" s="48">
        <v>11.2</v>
      </c>
      <c r="G565" s="83"/>
      <c r="H565" s="37">
        <f>E565*G565</f>
        <v>0</v>
      </c>
      <c r="I565" s="39">
        <f>G565*F565</f>
        <v>0</v>
      </c>
    </row>
    <row r="566" spans="1:9" s="1" customFormat="1" ht="34.5" customHeight="1">
      <c r="A566" s="19" t="s">
        <v>86</v>
      </c>
      <c r="B566" s="66" t="s">
        <v>87</v>
      </c>
      <c r="C566" s="68"/>
      <c r="D566" s="59">
        <v>20</v>
      </c>
      <c r="E566" s="56">
        <v>86</v>
      </c>
      <c r="F566" s="48">
        <v>11.2</v>
      </c>
      <c r="G566" s="83"/>
      <c r="H566" s="37">
        <f>E566*G566</f>
        <v>0</v>
      </c>
      <c r="I566" s="39">
        <f>G566*F566</f>
        <v>0</v>
      </c>
    </row>
    <row r="567" spans="1:9" s="1" customFormat="1" ht="34.5" customHeight="1">
      <c r="A567" s="19" t="s">
        <v>88</v>
      </c>
      <c r="B567" s="66" t="s">
        <v>89</v>
      </c>
      <c r="C567" s="68"/>
      <c r="D567" s="59">
        <v>10</v>
      </c>
      <c r="E567" s="56">
        <v>86</v>
      </c>
      <c r="F567" s="48">
        <v>11.2</v>
      </c>
      <c r="G567" s="83"/>
      <c r="H567" s="37">
        <f>E567*G567</f>
        <v>0</v>
      </c>
      <c r="I567" s="39">
        <f>G567*F567</f>
        <v>0</v>
      </c>
    </row>
    <row r="568" spans="1:9" s="1" customFormat="1" ht="34.5" customHeight="1">
      <c r="A568" s="19" t="s">
        <v>90</v>
      </c>
      <c r="B568" s="66" t="s">
        <v>91</v>
      </c>
      <c r="C568" s="68"/>
      <c r="D568" s="59">
        <v>10</v>
      </c>
      <c r="E568" s="56">
        <v>86</v>
      </c>
      <c r="F568" s="48">
        <v>11.2</v>
      </c>
      <c r="G568" s="83"/>
      <c r="H568" s="37">
        <f>E568*G568</f>
        <v>0</v>
      </c>
      <c r="I568" s="39">
        <f>G568*F568</f>
        <v>0</v>
      </c>
    </row>
    <row r="569" spans="1:9" s="1" customFormat="1" ht="34.5" customHeight="1">
      <c r="A569" s="19" t="s">
        <v>115</v>
      </c>
      <c r="B569" s="66" t="s">
        <v>116</v>
      </c>
      <c r="C569" s="68"/>
      <c r="D569" s="59">
        <v>80</v>
      </c>
      <c r="E569" s="56">
        <v>58</v>
      </c>
      <c r="F569" s="48">
        <v>7.6</v>
      </c>
      <c r="G569" s="83"/>
      <c r="H569" s="37">
        <f>E569*G569</f>
        <v>0</v>
      </c>
      <c r="I569" s="39">
        <f>G569*F569</f>
        <v>0</v>
      </c>
    </row>
    <row r="570" spans="1:9" s="1" customFormat="1" ht="34.5" customHeight="1">
      <c r="A570" s="19" t="s">
        <v>61</v>
      </c>
      <c r="B570" s="66" t="s">
        <v>62</v>
      </c>
      <c r="C570" s="68"/>
      <c r="D570" s="59">
        <v>40</v>
      </c>
      <c r="E570" s="56">
        <v>66</v>
      </c>
      <c r="F570" s="48">
        <v>8.6</v>
      </c>
      <c r="G570" s="83"/>
      <c r="H570" s="37">
        <f>E570*G570</f>
        <v>0</v>
      </c>
      <c r="I570" s="39">
        <f>G570*F570</f>
        <v>0</v>
      </c>
    </row>
    <row r="571" spans="1:9" s="1" customFormat="1" ht="34.5" customHeight="1">
      <c r="A571" s="19" t="s">
        <v>63</v>
      </c>
      <c r="B571" s="66" t="s">
        <v>64</v>
      </c>
      <c r="C571" s="68"/>
      <c r="D571" s="59">
        <v>40</v>
      </c>
      <c r="E571" s="56">
        <v>66</v>
      </c>
      <c r="F571" s="48">
        <v>8.6</v>
      </c>
      <c r="G571" s="83"/>
      <c r="H571" s="37">
        <f>E571*G571</f>
        <v>0</v>
      </c>
      <c r="I571" s="39">
        <f>G571*F571</f>
        <v>0</v>
      </c>
    </row>
    <row r="572" spans="1:9" s="1" customFormat="1" ht="34.5" customHeight="1">
      <c r="A572" s="19" t="s">
        <v>71</v>
      </c>
      <c r="B572" s="66" t="s">
        <v>72</v>
      </c>
      <c r="C572" s="68"/>
      <c r="D572" s="59">
        <v>30</v>
      </c>
      <c r="E572" s="56">
        <v>80</v>
      </c>
      <c r="F572" s="48">
        <v>10.4</v>
      </c>
      <c r="G572" s="83"/>
      <c r="H572" s="37">
        <f>E572*G572</f>
        <v>0</v>
      </c>
      <c r="I572" s="39">
        <f>G572*F572</f>
        <v>0</v>
      </c>
    </row>
    <row r="573" spans="1:9" s="1" customFormat="1" ht="34.5" customHeight="1">
      <c r="A573" s="19" t="s">
        <v>73</v>
      </c>
      <c r="B573" s="66" t="s">
        <v>74</v>
      </c>
      <c r="C573" s="68"/>
      <c r="D573" s="59">
        <v>30</v>
      </c>
      <c r="E573" s="56">
        <v>80</v>
      </c>
      <c r="F573" s="48">
        <v>10.4</v>
      </c>
      <c r="G573" s="83"/>
      <c r="H573" s="37">
        <f>E573*G573</f>
        <v>0</v>
      </c>
      <c r="I573" s="39">
        <f>G573*F573</f>
        <v>0</v>
      </c>
    </row>
    <row r="574" spans="1:9" s="1" customFormat="1" ht="34.5" customHeight="1">
      <c r="A574" s="19" t="s">
        <v>749</v>
      </c>
      <c r="B574" s="66" t="s">
        <v>750</v>
      </c>
      <c r="C574" s="68"/>
      <c r="D574" s="59">
        <v>100</v>
      </c>
      <c r="E574" s="56">
        <v>158</v>
      </c>
      <c r="F574" s="48">
        <v>20.6</v>
      </c>
      <c r="G574" s="83"/>
      <c r="H574" s="37">
        <f>E574*G574</f>
        <v>0</v>
      </c>
      <c r="I574" s="39">
        <f>G574*F574</f>
        <v>0</v>
      </c>
    </row>
    <row r="575" spans="1:9" s="1" customFormat="1" ht="34.5" customHeight="1">
      <c r="A575" s="19" t="s">
        <v>592</v>
      </c>
      <c r="B575" s="66" t="s">
        <v>593</v>
      </c>
      <c r="C575" s="68"/>
      <c r="D575" s="59">
        <v>1000</v>
      </c>
      <c r="E575" s="56">
        <v>340</v>
      </c>
      <c r="F575" s="48">
        <v>44.2</v>
      </c>
      <c r="G575" s="83"/>
      <c r="H575" s="37">
        <f>E575*G575</f>
        <v>0</v>
      </c>
      <c r="I575" s="39">
        <f>G575*F575</f>
        <v>0</v>
      </c>
    </row>
    <row r="576" spans="1:9" s="1" customFormat="1" ht="34.5" customHeight="1">
      <c r="A576" s="19" t="s">
        <v>1098</v>
      </c>
      <c r="B576" s="66" t="s">
        <v>1099</v>
      </c>
      <c r="C576" s="68"/>
      <c r="D576" s="59">
        <v>200</v>
      </c>
      <c r="E576" s="56">
        <v>605</v>
      </c>
      <c r="F576" s="48">
        <v>78.599999999999994</v>
      </c>
      <c r="G576" s="83"/>
      <c r="H576" s="37">
        <f>E576*G576</f>
        <v>0</v>
      </c>
      <c r="I576" s="39">
        <f>G576*F576</f>
        <v>0</v>
      </c>
    </row>
    <row r="577" spans="1:9" s="1" customFormat="1" ht="34.5" customHeight="1">
      <c r="A577" s="19" t="s">
        <v>928</v>
      </c>
      <c r="B577" s="66" t="s">
        <v>929</v>
      </c>
      <c r="C577" s="68"/>
      <c r="D577" s="59">
        <v>200</v>
      </c>
      <c r="E577" s="56">
        <v>338</v>
      </c>
      <c r="F577" s="48">
        <v>43.9</v>
      </c>
      <c r="G577" s="83"/>
      <c r="H577" s="37">
        <f>E577*G577</f>
        <v>0</v>
      </c>
      <c r="I577" s="39">
        <f>G577*F577</f>
        <v>0</v>
      </c>
    </row>
    <row r="578" spans="1:9" s="1" customFormat="1" ht="34.5" customHeight="1">
      <c r="A578" s="19" t="s">
        <v>51</v>
      </c>
      <c r="B578" s="66" t="s">
        <v>52</v>
      </c>
      <c r="C578" s="68"/>
      <c r="D578" s="59">
        <v>200</v>
      </c>
      <c r="E578" s="56">
        <v>500</v>
      </c>
      <c r="F578" s="48">
        <v>65</v>
      </c>
      <c r="G578" s="83"/>
      <c r="H578" s="37">
        <f>E578*G578</f>
        <v>0</v>
      </c>
      <c r="I578" s="39">
        <f>G578*F578</f>
        <v>0</v>
      </c>
    </row>
    <row r="579" spans="1:9" s="1" customFormat="1" ht="34.5" customHeight="1">
      <c r="A579" s="19" t="s">
        <v>1287</v>
      </c>
      <c r="B579" s="66" t="s">
        <v>1353</v>
      </c>
      <c r="C579" s="68"/>
      <c r="D579" s="59">
        <v>100</v>
      </c>
      <c r="E579" s="56">
        <v>1223</v>
      </c>
      <c r="F579" s="48">
        <v>158.9</v>
      </c>
      <c r="G579" s="83"/>
      <c r="H579" s="37">
        <f>E579*G579</f>
        <v>0</v>
      </c>
      <c r="I579" s="39">
        <f>G579*F579</f>
        <v>0</v>
      </c>
    </row>
    <row r="580" spans="1:9" s="1" customFormat="1" ht="34.5" customHeight="1">
      <c r="A580" s="19" t="s">
        <v>1286</v>
      </c>
      <c r="B580" s="66" t="s">
        <v>1352</v>
      </c>
      <c r="C580" s="68"/>
      <c r="D580" s="59">
        <v>35</v>
      </c>
      <c r="E580" s="56">
        <v>275</v>
      </c>
      <c r="F580" s="48">
        <v>35.800000000000004</v>
      </c>
      <c r="G580" s="83"/>
      <c r="H580" s="37">
        <f>E580*G580</f>
        <v>0</v>
      </c>
      <c r="I580" s="39">
        <f>G580*F580</f>
        <v>0</v>
      </c>
    </row>
    <row r="581" spans="1:9" s="1" customFormat="1" ht="34.5" customHeight="1">
      <c r="A581" s="19" t="s">
        <v>751</v>
      </c>
      <c r="B581" s="66" t="s">
        <v>1032</v>
      </c>
      <c r="C581" s="68"/>
      <c r="D581" s="59">
        <v>100</v>
      </c>
      <c r="E581" s="56">
        <v>335</v>
      </c>
      <c r="F581" s="48">
        <v>43.6</v>
      </c>
      <c r="G581" s="83"/>
      <c r="H581" s="37">
        <f>E581*G581</f>
        <v>0</v>
      </c>
      <c r="I581" s="39">
        <f>G581*F581</f>
        <v>0</v>
      </c>
    </row>
    <row r="582" spans="1:9" s="1" customFormat="1" ht="34.5" customHeight="1">
      <c r="A582" s="19" t="s">
        <v>563</v>
      </c>
      <c r="B582" s="66" t="s">
        <v>564</v>
      </c>
      <c r="C582" s="68"/>
      <c r="D582" s="59">
        <v>500</v>
      </c>
      <c r="E582" s="56">
        <v>965</v>
      </c>
      <c r="F582" s="48">
        <v>125.39999999999999</v>
      </c>
      <c r="G582" s="83"/>
      <c r="H582" s="37">
        <f>E582*G582</f>
        <v>0</v>
      </c>
      <c r="I582" s="39">
        <f>G582*F582</f>
        <v>0</v>
      </c>
    </row>
    <row r="583" spans="1:9" s="1" customFormat="1" ht="34.5" customHeight="1">
      <c r="A583" s="19" t="s">
        <v>164</v>
      </c>
      <c r="B583" s="66" t="s">
        <v>1033</v>
      </c>
      <c r="C583" s="68"/>
      <c r="D583" s="59">
        <v>200</v>
      </c>
      <c r="E583" s="56">
        <v>200</v>
      </c>
      <c r="F583" s="48">
        <v>26</v>
      </c>
      <c r="G583" s="83"/>
      <c r="H583" s="37">
        <f>E583*G583</f>
        <v>0</v>
      </c>
      <c r="I583" s="39">
        <f>G583*F583</f>
        <v>0</v>
      </c>
    </row>
    <row r="584" spans="1:9" s="1" customFormat="1" ht="34.5" customHeight="1">
      <c r="A584" s="19" t="s">
        <v>930</v>
      </c>
      <c r="B584" s="66" t="s">
        <v>931</v>
      </c>
      <c r="C584" s="68"/>
      <c r="D584" s="59">
        <v>200</v>
      </c>
      <c r="E584" s="56">
        <v>112</v>
      </c>
      <c r="F584" s="48">
        <v>14.6</v>
      </c>
      <c r="G584" s="83"/>
      <c r="H584" s="37">
        <f>E584*G584</f>
        <v>0</v>
      </c>
      <c r="I584" s="39">
        <f>G584*F584</f>
        <v>0</v>
      </c>
    </row>
    <row r="585" spans="1:9" s="1" customFormat="1" ht="34.5" customHeight="1">
      <c r="A585" s="19" t="s">
        <v>1100</v>
      </c>
      <c r="B585" s="66" t="s">
        <v>1101</v>
      </c>
      <c r="C585" s="68"/>
      <c r="D585" s="59">
        <v>400</v>
      </c>
      <c r="E585" s="56">
        <v>128</v>
      </c>
      <c r="F585" s="48">
        <v>16.700000000000003</v>
      </c>
      <c r="G585" s="83"/>
      <c r="H585" s="37">
        <f>E585*G585</f>
        <v>0</v>
      </c>
      <c r="I585" s="39">
        <f>G585*F585</f>
        <v>0</v>
      </c>
    </row>
    <row r="586" spans="1:9" s="1" customFormat="1" ht="34.5" customHeight="1">
      <c r="A586" s="19" t="s">
        <v>159</v>
      </c>
      <c r="B586" s="66" t="s">
        <v>160</v>
      </c>
      <c r="C586" s="68"/>
      <c r="D586" s="59">
        <v>300</v>
      </c>
      <c r="E586" s="56">
        <v>152</v>
      </c>
      <c r="F586" s="48">
        <v>19.8</v>
      </c>
      <c r="G586" s="83"/>
      <c r="H586" s="37">
        <f>E586*G586</f>
        <v>0</v>
      </c>
      <c r="I586" s="39">
        <f>G586*F586</f>
        <v>0</v>
      </c>
    </row>
    <row r="587" spans="1:9" s="1" customFormat="1" ht="34.5" customHeight="1">
      <c r="A587" s="19" t="s">
        <v>157</v>
      </c>
      <c r="B587" s="66" t="s">
        <v>158</v>
      </c>
      <c r="C587" s="68"/>
      <c r="D587" s="59">
        <v>200</v>
      </c>
      <c r="E587" s="56">
        <v>202</v>
      </c>
      <c r="F587" s="48">
        <v>26.3</v>
      </c>
      <c r="G587" s="83"/>
      <c r="H587" s="37">
        <f>E587*G587</f>
        <v>0</v>
      </c>
      <c r="I587" s="39">
        <f>G587*F587</f>
        <v>0</v>
      </c>
    </row>
    <row r="588" spans="1:9" s="1" customFormat="1" ht="34.5" customHeight="1">
      <c r="A588" s="19" t="s">
        <v>43</v>
      </c>
      <c r="B588" s="66" t="s">
        <v>44</v>
      </c>
      <c r="C588" s="68"/>
      <c r="D588" s="59">
        <v>100</v>
      </c>
      <c r="E588" s="56">
        <v>260</v>
      </c>
      <c r="F588" s="48">
        <v>33.800000000000004</v>
      </c>
      <c r="G588" s="83"/>
      <c r="H588" s="37">
        <f>E588*G588</f>
        <v>0</v>
      </c>
      <c r="I588" s="39">
        <f>G588*F588</f>
        <v>0</v>
      </c>
    </row>
    <row r="589" spans="1:9" s="1" customFormat="1" ht="34.5" customHeight="1">
      <c r="A589" s="19" t="s">
        <v>49</v>
      </c>
      <c r="B589" s="66" t="s">
        <v>50</v>
      </c>
      <c r="C589" s="68"/>
      <c r="D589" s="59">
        <v>100</v>
      </c>
      <c r="E589" s="56">
        <v>448</v>
      </c>
      <c r="F589" s="48">
        <v>58.2</v>
      </c>
      <c r="G589" s="83"/>
      <c r="H589" s="37">
        <f>E589*G589</f>
        <v>0</v>
      </c>
      <c r="I589" s="39">
        <f>G589*F589</f>
        <v>0</v>
      </c>
    </row>
    <row r="590" spans="1:9" s="1" customFormat="1" ht="34.5" customHeight="1">
      <c r="A590" s="19" t="s">
        <v>45</v>
      </c>
      <c r="B590" s="66" t="s">
        <v>46</v>
      </c>
      <c r="C590" s="68"/>
      <c r="D590" s="59">
        <v>100</v>
      </c>
      <c r="E590" s="56">
        <v>330</v>
      </c>
      <c r="F590" s="48">
        <v>42.9</v>
      </c>
      <c r="G590" s="83"/>
      <c r="H590" s="37">
        <f>E590*G590</f>
        <v>0</v>
      </c>
      <c r="I590" s="39">
        <f>G590*F590</f>
        <v>0</v>
      </c>
    </row>
    <row r="591" spans="1:9" s="1" customFormat="1" ht="34.5" customHeight="1">
      <c r="A591" s="19" t="s">
        <v>47</v>
      </c>
      <c r="B591" s="66" t="s">
        <v>48</v>
      </c>
      <c r="C591" s="68"/>
      <c r="D591" s="59">
        <v>100</v>
      </c>
      <c r="E591" s="56">
        <v>400</v>
      </c>
      <c r="F591" s="48">
        <v>52</v>
      </c>
      <c r="G591" s="83"/>
      <c r="H591" s="37">
        <f>E591*G591</f>
        <v>0</v>
      </c>
      <c r="I591" s="39">
        <f>G591*F591</f>
        <v>0</v>
      </c>
    </row>
    <row r="592" spans="1:9" s="1" customFormat="1" ht="34.5" customHeight="1">
      <c r="A592" s="19" t="s">
        <v>752</v>
      </c>
      <c r="B592" s="66" t="s">
        <v>753</v>
      </c>
      <c r="C592" s="68"/>
      <c r="D592" s="59">
        <v>100</v>
      </c>
      <c r="E592" s="56">
        <v>97</v>
      </c>
      <c r="F592" s="48">
        <v>12.6</v>
      </c>
      <c r="G592" s="83"/>
      <c r="H592" s="37">
        <f>E592*G592</f>
        <v>0</v>
      </c>
      <c r="I592" s="39">
        <f>G592*F592</f>
        <v>0</v>
      </c>
    </row>
    <row r="593" spans="1:9" s="1" customFormat="1" ht="34.5" customHeight="1">
      <c r="A593" s="19" t="s">
        <v>701</v>
      </c>
      <c r="B593" s="66" t="s">
        <v>702</v>
      </c>
      <c r="C593" s="68"/>
      <c r="D593" s="59">
        <v>10</v>
      </c>
      <c r="E593" s="56">
        <v>350</v>
      </c>
      <c r="F593" s="48">
        <v>45.5</v>
      </c>
      <c r="G593" s="83"/>
      <c r="H593" s="37">
        <f>E593*G593</f>
        <v>0</v>
      </c>
      <c r="I593" s="39">
        <f>G593*F593</f>
        <v>0</v>
      </c>
    </row>
    <row r="594" spans="1:9" s="1" customFormat="1" ht="34.5" customHeight="1">
      <c r="A594" s="19" t="s">
        <v>542</v>
      </c>
      <c r="B594" s="66" t="s">
        <v>543</v>
      </c>
      <c r="C594" s="68"/>
      <c r="D594" s="59">
        <v>2000</v>
      </c>
      <c r="E594" s="56">
        <v>200</v>
      </c>
      <c r="F594" s="48">
        <v>26</v>
      </c>
      <c r="G594" s="83"/>
      <c r="H594" s="37">
        <f>E594*G594</f>
        <v>0</v>
      </c>
      <c r="I594" s="39">
        <f>G594*F594</f>
        <v>0</v>
      </c>
    </row>
    <row r="595" spans="1:9" s="1" customFormat="1" ht="34.5" customHeight="1">
      <c r="A595" s="19" t="s">
        <v>511</v>
      </c>
      <c r="B595" s="66" t="s">
        <v>512</v>
      </c>
      <c r="C595" s="68"/>
      <c r="D595" s="59">
        <v>2000</v>
      </c>
      <c r="E595" s="56">
        <v>215</v>
      </c>
      <c r="F595" s="48">
        <v>28</v>
      </c>
      <c r="G595" s="83"/>
      <c r="H595" s="37">
        <f>E595*G595</f>
        <v>0</v>
      </c>
      <c r="I595" s="39">
        <f>G595*F595</f>
        <v>0</v>
      </c>
    </row>
    <row r="596" spans="1:9" s="1" customFormat="1" ht="34.5" customHeight="1">
      <c r="A596" s="19" t="s">
        <v>616</v>
      </c>
      <c r="B596" s="66" t="s">
        <v>617</v>
      </c>
      <c r="C596" s="68"/>
      <c r="D596" s="59">
        <v>200</v>
      </c>
      <c r="E596" s="56">
        <v>475</v>
      </c>
      <c r="F596" s="48">
        <v>61.7</v>
      </c>
      <c r="G596" s="83"/>
      <c r="H596" s="37">
        <f>E596*G596</f>
        <v>0</v>
      </c>
      <c r="I596" s="39">
        <f>G596*F596</f>
        <v>0</v>
      </c>
    </row>
    <row r="597" spans="1:9" s="1" customFormat="1" ht="34.5" customHeight="1">
      <c r="A597" s="19" t="s">
        <v>1106</v>
      </c>
      <c r="B597" s="66" t="s">
        <v>1107</v>
      </c>
      <c r="C597" s="68"/>
      <c r="D597" s="59">
        <v>800</v>
      </c>
      <c r="E597" s="56">
        <v>610</v>
      </c>
      <c r="F597" s="48">
        <v>79.3</v>
      </c>
      <c r="G597" s="83"/>
      <c r="H597" s="37">
        <f>E597*G597</f>
        <v>0</v>
      </c>
      <c r="I597" s="39">
        <f>G597*F597</f>
        <v>0</v>
      </c>
    </row>
    <row r="598" spans="1:9" s="1" customFormat="1" ht="34.5" customHeight="1">
      <c r="A598" s="19" t="s">
        <v>1118</v>
      </c>
      <c r="B598" s="66" t="s">
        <v>1238</v>
      </c>
      <c r="C598" s="68"/>
      <c r="D598" s="59">
        <v>2300</v>
      </c>
      <c r="E598" s="56">
        <v>100</v>
      </c>
      <c r="F598" s="48">
        <v>13</v>
      </c>
      <c r="G598" s="83"/>
      <c r="H598" s="37">
        <f>E598*G598</f>
        <v>0</v>
      </c>
      <c r="I598" s="39">
        <f>G598*F598</f>
        <v>0</v>
      </c>
    </row>
    <row r="599" spans="1:9" s="1" customFormat="1" ht="34.5" customHeight="1">
      <c r="A599" s="19" t="s">
        <v>689</v>
      </c>
      <c r="B599" s="66" t="s">
        <v>690</v>
      </c>
      <c r="C599" s="68"/>
      <c r="D599" s="59">
        <v>2000</v>
      </c>
      <c r="E599" s="56">
        <v>109</v>
      </c>
      <c r="F599" s="48">
        <v>14.2</v>
      </c>
      <c r="G599" s="83"/>
      <c r="H599" s="37">
        <f>E599*G599</f>
        <v>0</v>
      </c>
      <c r="I599" s="39">
        <f>G599*F599</f>
        <v>0</v>
      </c>
    </row>
    <row r="600" spans="1:9" s="1" customFormat="1" ht="34.5" customHeight="1">
      <c r="A600" s="19" t="s">
        <v>1119</v>
      </c>
      <c r="B600" s="66" t="s">
        <v>1239</v>
      </c>
      <c r="C600" s="68"/>
      <c r="D600" s="59">
        <v>3500</v>
      </c>
      <c r="E600" s="56">
        <v>103</v>
      </c>
      <c r="F600" s="48">
        <v>13.4</v>
      </c>
      <c r="G600" s="83"/>
      <c r="H600" s="37">
        <f>E600*G600</f>
        <v>0</v>
      </c>
      <c r="I600" s="39">
        <f>G600*F600</f>
        <v>0</v>
      </c>
    </row>
    <row r="601" spans="1:9" s="1" customFormat="1" ht="34.5" customHeight="1">
      <c r="A601" s="19" t="s">
        <v>634</v>
      </c>
      <c r="B601" s="66" t="s">
        <v>635</v>
      </c>
      <c r="C601" s="68"/>
      <c r="D601" s="59">
        <v>1000</v>
      </c>
      <c r="E601" s="56">
        <v>175</v>
      </c>
      <c r="F601" s="48">
        <v>22.8</v>
      </c>
      <c r="G601" s="83"/>
      <c r="H601" s="37">
        <f>E601*G601</f>
        <v>0</v>
      </c>
      <c r="I601" s="39">
        <f>G601*F601</f>
        <v>0</v>
      </c>
    </row>
    <row r="602" spans="1:9" s="1" customFormat="1" ht="34.5" customHeight="1">
      <c r="A602" s="19" t="s">
        <v>136</v>
      </c>
      <c r="B602" s="66" t="s">
        <v>1236</v>
      </c>
      <c r="C602" s="68"/>
      <c r="D602" s="59">
        <v>1000</v>
      </c>
      <c r="E602" s="56">
        <v>218.68</v>
      </c>
      <c r="F602" s="48">
        <f>ROUNDUP(E602/7.7,1)</f>
        <v>28.4</v>
      </c>
      <c r="G602" s="83"/>
      <c r="H602" s="37">
        <f>E602*G602</f>
        <v>0</v>
      </c>
      <c r="I602" s="39">
        <f>G602*F602</f>
        <v>0</v>
      </c>
    </row>
    <row r="603" spans="1:9" s="1" customFormat="1" ht="34.5" customHeight="1">
      <c r="A603" s="19" t="s">
        <v>1068</v>
      </c>
      <c r="B603" s="66" t="s">
        <v>1237</v>
      </c>
      <c r="C603" s="68"/>
      <c r="D603" s="59">
        <v>1000</v>
      </c>
      <c r="E603" s="56">
        <v>275</v>
      </c>
      <c r="F603" s="48">
        <v>35.800000000000004</v>
      </c>
      <c r="G603" s="83"/>
      <c r="H603" s="37">
        <f>E603*G603</f>
        <v>0</v>
      </c>
      <c r="I603" s="39">
        <f>G603*F603</f>
        <v>0</v>
      </c>
    </row>
    <row r="604" spans="1:9" s="1" customFormat="1" ht="34.5" customHeight="1">
      <c r="A604" s="19" t="s">
        <v>862</v>
      </c>
      <c r="B604" s="66" t="s">
        <v>1240</v>
      </c>
      <c r="C604" s="68"/>
      <c r="D604" s="59">
        <v>800</v>
      </c>
      <c r="E604" s="56">
        <v>115</v>
      </c>
      <c r="F604" s="48">
        <f>ROUNDUP(E604/7.7,1)</f>
        <v>15</v>
      </c>
      <c r="G604" s="83"/>
      <c r="H604" s="37">
        <f>E604*G604</f>
        <v>0</v>
      </c>
      <c r="I604" s="39">
        <f>G604*F604</f>
        <v>0</v>
      </c>
    </row>
    <row r="605" spans="1:9" s="1" customFormat="1" ht="34.5" customHeight="1">
      <c r="A605" s="19" t="s">
        <v>1052</v>
      </c>
      <c r="B605" s="66" t="s">
        <v>1053</v>
      </c>
      <c r="C605" s="68"/>
      <c r="D605" s="59">
        <v>2000</v>
      </c>
      <c r="E605" s="56">
        <v>268</v>
      </c>
      <c r="F605" s="48">
        <v>34.9</v>
      </c>
      <c r="G605" s="83"/>
      <c r="H605" s="37">
        <f>E605*G605</f>
        <v>0</v>
      </c>
      <c r="I605" s="39">
        <f>G605*F605</f>
        <v>0</v>
      </c>
    </row>
    <row r="606" spans="1:9" s="1" customFormat="1" ht="34.5" customHeight="1">
      <c r="A606" s="19" t="s">
        <v>608</v>
      </c>
      <c r="B606" s="66" t="s">
        <v>609</v>
      </c>
      <c r="C606" s="68"/>
      <c r="D606" s="59">
        <v>3000</v>
      </c>
      <c r="E606" s="56">
        <v>99</v>
      </c>
      <c r="F606" s="48">
        <v>12.9</v>
      </c>
      <c r="G606" s="83"/>
      <c r="H606" s="37">
        <f>E606*G606</f>
        <v>0</v>
      </c>
      <c r="I606" s="39">
        <f>G606*F606</f>
        <v>0</v>
      </c>
    </row>
    <row r="607" spans="1:9" s="1" customFormat="1" ht="34.5" customHeight="1">
      <c r="A607" s="19" t="s">
        <v>149</v>
      </c>
      <c r="B607" s="66" t="s">
        <v>150</v>
      </c>
      <c r="C607" s="68"/>
      <c r="D607" s="59">
        <v>1000</v>
      </c>
      <c r="E607" s="56">
        <v>300</v>
      </c>
      <c r="F607" s="48">
        <v>39</v>
      </c>
      <c r="G607" s="83"/>
      <c r="H607" s="37">
        <f>E607*G607</f>
        <v>0</v>
      </c>
      <c r="I607" s="39">
        <f>G607*F607</f>
        <v>0</v>
      </c>
    </row>
    <row r="608" spans="1:9" s="1" customFormat="1" ht="34.5" customHeight="1">
      <c r="A608" s="19" t="s">
        <v>569</v>
      </c>
      <c r="B608" s="66" t="s">
        <v>570</v>
      </c>
      <c r="C608" s="68"/>
      <c r="D608" s="59">
        <v>1000</v>
      </c>
      <c r="E608" s="56">
        <v>149</v>
      </c>
      <c r="F608" s="48">
        <v>19.400000000000002</v>
      </c>
      <c r="G608" s="83"/>
      <c r="H608" s="37">
        <f>E608*G608</f>
        <v>0</v>
      </c>
      <c r="I608" s="39">
        <f>G608*F608</f>
        <v>0</v>
      </c>
    </row>
    <row r="609" spans="1:9" s="1" customFormat="1" ht="34.5" customHeight="1">
      <c r="A609" s="19" t="s">
        <v>594</v>
      </c>
      <c r="B609" s="66" t="s">
        <v>595</v>
      </c>
      <c r="C609" s="68"/>
      <c r="D609" s="59">
        <v>5000</v>
      </c>
      <c r="E609" s="56">
        <v>279</v>
      </c>
      <c r="F609" s="48">
        <v>36.300000000000004</v>
      </c>
      <c r="G609" s="83"/>
      <c r="H609" s="37">
        <f>E609*G609</f>
        <v>0</v>
      </c>
      <c r="I609" s="39">
        <f>G609*F609</f>
        <v>0</v>
      </c>
    </row>
    <row r="610" spans="1:9" s="1" customFormat="1" ht="34.5" customHeight="1">
      <c r="A610" s="19" t="s">
        <v>1288</v>
      </c>
      <c r="B610" s="66" t="s">
        <v>1360</v>
      </c>
      <c r="C610" s="68"/>
      <c r="D610" s="59">
        <v>1000</v>
      </c>
      <c r="E610" s="56">
        <v>360</v>
      </c>
      <c r="F610" s="48">
        <v>46.800000000000004</v>
      </c>
      <c r="G610" s="83"/>
      <c r="H610" s="37">
        <f>E610*G610</f>
        <v>0</v>
      </c>
      <c r="I610" s="39">
        <f>G610*F610</f>
        <v>0</v>
      </c>
    </row>
    <row r="611" spans="1:9" s="1" customFormat="1" ht="34.5" customHeight="1">
      <c r="A611" s="19" t="s">
        <v>1358</v>
      </c>
      <c r="B611" s="66" t="s">
        <v>1359</v>
      </c>
      <c r="C611" s="68"/>
      <c r="D611" s="59">
        <v>1000</v>
      </c>
      <c r="E611" s="56">
        <v>360</v>
      </c>
      <c r="F611" s="48">
        <v>46.800000000000004</v>
      </c>
      <c r="G611" s="83"/>
      <c r="H611" s="37">
        <f>E611*G611</f>
        <v>0</v>
      </c>
      <c r="I611" s="39">
        <f>G611*F611</f>
        <v>0</v>
      </c>
    </row>
    <row r="612" spans="1:9" s="1" customFormat="1" ht="34.5" customHeight="1">
      <c r="A612" s="19" t="s">
        <v>1354</v>
      </c>
      <c r="B612" s="66" t="s">
        <v>1355</v>
      </c>
      <c r="C612" s="68"/>
      <c r="D612" s="59">
        <v>800</v>
      </c>
      <c r="E612" s="56">
        <v>272</v>
      </c>
      <c r="F612" s="48">
        <v>35.4</v>
      </c>
      <c r="G612" s="83"/>
      <c r="H612" s="37">
        <f>E612*G612</f>
        <v>0</v>
      </c>
      <c r="I612" s="39">
        <f>G612*F612</f>
        <v>0</v>
      </c>
    </row>
    <row r="613" spans="1:9" s="1" customFormat="1" ht="34.5" customHeight="1">
      <c r="A613" s="19" t="s">
        <v>863</v>
      </c>
      <c r="B613" s="66" t="s">
        <v>864</v>
      </c>
      <c r="C613" s="68"/>
      <c r="D613" s="59">
        <v>1000</v>
      </c>
      <c r="E613" s="56">
        <v>308</v>
      </c>
      <c r="F613" s="48">
        <v>40</v>
      </c>
      <c r="G613" s="83"/>
      <c r="H613" s="37">
        <f>E613*G613</f>
        <v>0</v>
      </c>
      <c r="I613" s="39">
        <f>G613*F613</f>
        <v>0</v>
      </c>
    </row>
    <row r="614" spans="1:9" s="1" customFormat="1" ht="34.5" customHeight="1">
      <c r="A614" s="19" t="s">
        <v>42</v>
      </c>
      <c r="B614" s="66" t="s">
        <v>161</v>
      </c>
      <c r="C614" s="68"/>
      <c r="D614" s="59">
        <v>300</v>
      </c>
      <c r="E614" s="56">
        <v>240</v>
      </c>
      <c r="F614" s="48">
        <v>31.200000000000003</v>
      </c>
      <c r="G614" s="83"/>
      <c r="H614" s="37">
        <f>E614*G614</f>
        <v>0</v>
      </c>
      <c r="I614" s="39">
        <f>G614*F614</f>
        <v>0</v>
      </c>
    </row>
    <row r="615" spans="1:9" s="1" customFormat="1" ht="34.5" customHeight="1">
      <c r="A615" s="19" t="s">
        <v>950</v>
      </c>
      <c r="B615" s="66" t="s">
        <v>951</v>
      </c>
      <c r="C615" s="68"/>
      <c r="D615" s="59">
        <v>1100</v>
      </c>
      <c r="E615" s="56">
        <v>437</v>
      </c>
      <c r="F615" s="48">
        <v>56.800000000000004</v>
      </c>
      <c r="G615" s="83"/>
      <c r="H615" s="37">
        <f>E615*G615</f>
        <v>0</v>
      </c>
      <c r="I615" s="39">
        <f>G615*F615</f>
        <v>0</v>
      </c>
    </row>
    <row r="616" spans="1:9" s="1" customFormat="1" ht="34.5" customHeight="1">
      <c r="A616" s="19" t="s">
        <v>952</v>
      </c>
      <c r="B616" s="66" t="s">
        <v>953</v>
      </c>
      <c r="C616" s="68"/>
      <c r="D616" s="59">
        <v>950</v>
      </c>
      <c r="E616" s="56">
        <v>230</v>
      </c>
      <c r="F616" s="48">
        <v>29.900000000000002</v>
      </c>
      <c r="G616" s="83"/>
      <c r="H616" s="37">
        <f>E616*G616</f>
        <v>0</v>
      </c>
      <c r="I616" s="39">
        <f>G616*F616</f>
        <v>0</v>
      </c>
    </row>
    <row r="617" spans="1:9" s="1" customFormat="1" ht="34.5" customHeight="1">
      <c r="A617" s="19" t="s">
        <v>899</v>
      </c>
      <c r="B617" s="66" t="s">
        <v>900</v>
      </c>
      <c r="C617" s="68"/>
      <c r="D617" s="59">
        <v>10</v>
      </c>
      <c r="E617" s="56">
        <v>140</v>
      </c>
      <c r="F617" s="48">
        <v>18.200000000000003</v>
      </c>
      <c r="G617" s="83"/>
      <c r="H617" s="37">
        <f>E617*G617</f>
        <v>0</v>
      </c>
      <c r="I617" s="39">
        <f>G617*F617</f>
        <v>0</v>
      </c>
    </row>
    <row r="618" spans="1:9" s="1" customFormat="1" ht="34.5" customHeight="1">
      <c r="A618" s="19" t="s">
        <v>610</v>
      </c>
      <c r="B618" s="66" t="s">
        <v>611</v>
      </c>
      <c r="C618" s="68"/>
      <c r="D618" s="59">
        <v>200</v>
      </c>
      <c r="E618" s="56">
        <v>115</v>
      </c>
      <c r="F618" s="48">
        <v>15</v>
      </c>
      <c r="G618" s="83"/>
      <c r="H618" s="37">
        <f>E618*G618</f>
        <v>0</v>
      </c>
      <c r="I618" s="39">
        <f>G618*F618</f>
        <v>0</v>
      </c>
    </row>
    <row r="619" spans="1:9" s="1" customFormat="1" ht="34.5" customHeight="1">
      <c r="A619" s="19" t="s">
        <v>561</v>
      </c>
      <c r="B619" s="66" t="s">
        <v>562</v>
      </c>
      <c r="C619" s="68"/>
      <c r="D619" s="59">
        <v>1000</v>
      </c>
      <c r="E619" s="56">
        <v>150</v>
      </c>
      <c r="F619" s="48">
        <v>19.5</v>
      </c>
      <c r="G619" s="83"/>
      <c r="H619" s="37">
        <f>E619*G619</f>
        <v>0</v>
      </c>
      <c r="I619" s="39">
        <f>G619*F619</f>
        <v>0</v>
      </c>
    </row>
    <row r="620" spans="1:9" s="1" customFormat="1" ht="34.5" customHeight="1">
      <c r="A620" s="19" t="s">
        <v>559</v>
      </c>
      <c r="B620" s="66" t="s">
        <v>560</v>
      </c>
      <c r="C620" s="68"/>
      <c r="D620" s="59">
        <v>1000</v>
      </c>
      <c r="E620" s="56">
        <v>145</v>
      </c>
      <c r="F620" s="48">
        <v>18.900000000000002</v>
      </c>
      <c r="G620" s="83"/>
      <c r="H620" s="37">
        <f>E620*G620</f>
        <v>0</v>
      </c>
      <c r="I620" s="39">
        <f>G620*F620</f>
        <v>0</v>
      </c>
    </row>
    <row r="621" spans="1:9" s="1" customFormat="1" ht="34.5" customHeight="1">
      <c r="A621" s="19" t="s">
        <v>473</v>
      </c>
      <c r="B621" s="66" t="s">
        <v>474</v>
      </c>
      <c r="C621" s="68"/>
      <c r="D621" s="59">
        <v>770</v>
      </c>
      <c r="E621" s="56">
        <v>350</v>
      </c>
      <c r="F621" s="48">
        <v>45.5</v>
      </c>
      <c r="G621" s="83"/>
      <c r="H621" s="37">
        <f>E621*G621</f>
        <v>0</v>
      </c>
      <c r="I621" s="39">
        <f>G621*F621</f>
        <v>0</v>
      </c>
    </row>
    <row r="622" spans="1:9" s="1" customFormat="1" ht="34.5" customHeight="1">
      <c r="A622" s="19" t="s">
        <v>774</v>
      </c>
      <c r="B622" s="66" t="s">
        <v>775</v>
      </c>
      <c r="C622" s="68"/>
      <c r="D622" s="59">
        <v>2000</v>
      </c>
      <c r="E622" s="56">
        <v>332</v>
      </c>
      <c r="F622" s="48">
        <v>43.2</v>
      </c>
      <c r="G622" s="83"/>
      <c r="H622" s="37">
        <f>E622*G622</f>
        <v>0</v>
      </c>
      <c r="I622" s="39">
        <f>G622*F622</f>
        <v>0</v>
      </c>
    </row>
    <row r="623" spans="1:9" s="1" customFormat="1" ht="34.5" customHeight="1">
      <c r="A623" s="19" t="s">
        <v>147</v>
      </c>
      <c r="B623" s="66" t="s">
        <v>148</v>
      </c>
      <c r="C623" s="68"/>
      <c r="D623" s="59">
        <v>1000</v>
      </c>
      <c r="E623" s="56">
        <v>385</v>
      </c>
      <c r="F623" s="48">
        <v>50</v>
      </c>
      <c r="G623" s="83"/>
      <c r="H623" s="37">
        <f>E623*G623</f>
        <v>0</v>
      </c>
      <c r="I623" s="39">
        <f>G623*F623</f>
        <v>0</v>
      </c>
    </row>
    <row r="624" spans="1:9" s="1" customFormat="1" ht="34.5" customHeight="1">
      <c r="A624" s="19" t="s">
        <v>596</v>
      </c>
      <c r="B624" s="66" t="s">
        <v>597</v>
      </c>
      <c r="C624" s="68"/>
      <c r="D624" s="59">
        <v>2000</v>
      </c>
      <c r="E624" s="56">
        <v>215</v>
      </c>
      <c r="F624" s="48">
        <v>28</v>
      </c>
      <c r="G624" s="83"/>
      <c r="H624" s="37">
        <f>E624*G624</f>
        <v>0</v>
      </c>
      <c r="I624" s="39">
        <f>G624*F624</f>
        <v>0</v>
      </c>
    </row>
    <row r="625" spans="1:9" s="1" customFormat="1" ht="34.5" customHeight="1">
      <c r="A625" s="19" t="s">
        <v>139</v>
      </c>
      <c r="B625" s="66" t="s">
        <v>140</v>
      </c>
      <c r="C625" s="68"/>
      <c r="D625" s="59">
        <v>150</v>
      </c>
      <c r="E625" s="56">
        <v>175</v>
      </c>
      <c r="F625" s="48">
        <v>22.8</v>
      </c>
      <c r="G625" s="83"/>
      <c r="H625" s="37">
        <f>E625*G625</f>
        <v>0</v>
      </c>
      <c r="I625" s="39">
        <f>G625*F625</f>
        <v>0</v>
      </c>
    </row>
    <row r="626" spans="1:9" s="1" customFormat="1" ht="34.5" customHeight="1">
      <c r="A626" s="19" t="s">
        <v>137</v>
      </c>
      <c r="B626" s="66" t="s">
        <v>138</v>
      </c>
      <c r="C626" s="68"/>
      <c r="D626" s="59">
        <v>100</v>
      </c>
      <c r="E626" s="56">
        <v>157</v>
      </c>
      <c r="F626" s="48">
        <v>20.400000000000002</v>
      </c>
      <c r="G626" s="83"/>
      <c r="H626" s="37">
        <f>E626*G626</f>
        <v>0</v>
      </c>
      <c r="I626" s="39">
        <f>G626*F626</f>
        <v>0</v>
      </c>
    </row>
    <row r="627" spans="1:9" s="1" customFormat="1" ht="34.5" customHeight="1">
      <c r="A627" s="19" t="s">
        <v>650</v>
      </c>
      <c r="B627" s="66" t="s">
        <v>651</v>
      </c>
      <c r="C627" s="68"/>
      <c r="D627" s="59">
        <v>5</v>
      </c>
      <c r="E627" s="56">
        <v>1668</v>
      </c>
      <c r="F627" s="48">
        <v>216.7</v>
      </c>
      <c r="G627" s="83"/>
      <c r="H627" s="37">
        <f>E627*G627</f>
        <v>0</v>
      </c>
      <c r="I627" s="39">
        <f>G627*F627</f>
        <v>0</v>
      </c>
    </row>
    <row r="628" spans="1:9" s="1" customFormat="1" ht="34.5" customHeight="1">
      <c r="A628" s="19" t="s">
        <v>1356</v>
      </c>
      <c r="B628" s="66" t="s">
        <v>1357</v>
      </c>
      <c r="C628" s="68"/>
      <c r="D628" s="59">
        <v>200</v>
      </c>
      <c r="E628" s="56">
        <v>1408</v>
      </c>
      <c r="F628" s="48">
        <v>182.9</v>
      </c>
      <c r="G628" s="83"/>
      <c r="H628" s="37">
        <f>E628*G628</f>
        <v>0</v>
      </c>
      <c r="I628" s="39">
        <f>G628*F628</f>
        <v>0</v>
      </c>
    </row>
    <row r="629" spans="1:9" s="1" customFormat="1" ht="34.5" customHeight="1">
      <c r="A629" s="19" t="s">
        <v>141</v>
      </c>
      <c r="B629" s="66" t="s">
        <v>142</v>
      </c>
      <c r="C629" s="68"/>
      <c r="D629" s="59">
        <v>500</v>
      </c>
      <c r="E629" s="56">
        <v>190</v>
      </c>
      <c r="F629" s="48">
        <v>24.700000000000003</v>
      </c>
      <c r="G629" s="83"/>
      <c r="H629" s="37">
        <f>E629*G629</f>
        <v>0</v>
      </c>
      <c r="I629" s="39">
        <f>G629*F629</f>
        <v>0</v>
      </c>
    </row>
    <row r="630" spans="1:9" s="1" customFormat="1" ht="34.5" customHeight="1">
      <c r="A630" s="19" t="s">
        <v>923</v>
      </c>
      <c r="B630" s="66" t="s">
        <v>924</v>
      </c>
      <c r="C630" s="68"/>
      <c r="D630" s="59">
        <v>10</v>
      </c>
      <c r="E630" s="56">
        <v>198</v>
      </c>
      <c r="F630" s="48">
        <v>25.8</v>
      </c>
      <c r="G630" s="83"/>
      <c r="H630" s="37">
        <f>E630*G630</f>
        <v>0</v>
      </c>
      <c r="I630" s="39">
        <f>G630*F630</f>
        <v>0</v>
      </c>
    </row>
    <row r="631" spans="1:9" s="1" customFormat="1" ht="34.5" customHeight="1">
      <c r="A631" s="19" t="s">
        <v>143</v>
      </c>
      <c r="B631" s="66" t="s">
        <v>144</v>
      </c>
      <c r="C631" s="68"/>
      <c r="D631" s="59">
        <v>500</v>
      </c>
      <c r="E631" s="56">
        <v>160</v>
      </c>
      <c r="F631" s="48">
        <v>20.8</v>
      </c>
      <c r="G631" s="83"/>
      <c r="H631" s="37">
        <f>E631*G631</f>
        <v>0</v>
      </c>
      <c r="I631" s="39">
        <f>G631*F631</f>
        <v>0</v>
      </c>
    </row>
    <row r="632" spans="1:9" s="1" customFormat="1" ht="34.5" customHeight="1">
      <c r="A632" s="19" t="s">
        <v>27</v>
      </c>
      <c r="B632" s="66" t="s">
        <v>1242</v>
      </c>
      <c r="C632" s="68"/>
      <c r="D632" s="59">
        <v>2000</v>
      </c>
      <c r="E632" s="56">
        <v>136</v>
      </c>
      <c r="F632" s="48">
        <v>17.700000000000003</v>
      </c>
      <c r="G632" s="83"/>
      <c r="H632" s="37">
        <f>E632*G632</f>
        <v>0</v>
      </c>
      <c r="I632" s="39">
        <f>G632*F632</f>
        <v>0</v>
      </c>
    </row>
    <row r="633" spans="1:9" s="1" customFormat="1" ht="34.5" customHeight="1">
      <c r="A633" s="19" t="s">
        <v>658</v>
      </c>
      <c r="B633" s="66" t="s">
        <v>1241</v>
      </c>
      <c r="C633" s="68"/>
      <c r="D633" s="59">
        <v>3000</v>
      </c>
      <c r="E633" s="56">
        <v>143.99</v>
      </c>
      <c r="F633" s="48">
        <f>ROUNDUP(E633/7.7,1)</f>
        <v>18.7</v>
      </c>
      <c r="G633" s="83"/>
      <c r="H633" s="37">
        <f>E633*G633</f>
        <v>0</v>
      </c>
      <c r="I633" s="39">
        <f>G633*F633</f>
        <v>0</v>
      </c>
    </row>
    <row r="634" spans="1:9" s="1" customFormat="1" ht="34.5" customHeight="1">
      <c r="A634" s="19" t="s">
        <v>469</v>
      </c>
      <c r="B634" s="66" t="s">
        <v>470</v>
      </c>
      <c r="C634" s="68"/>
      <c r="D634" s="59">
        <v>100</v>
      </c>
      <c r="E634" s="56">
        <v>700</v>
      </c>
      <c r="F634" s="48">
        <v>91</v>
      </c>
      <c r="G634" s="83"/>
      <c r="H634" s="37">
        <f>E634*G634</f>
        <v>0</v>
      </c>
      <c r="I634" s="39">
        <f>G634*F634</f>
        <v>0</v>
      </c>
    </row>
    <row r="635" spans="1:9" s="1" customFormat="1" ht="34.5" customHeight="1">
      <c r="A635" s="19" t="s">
        <v>865</v>
      </c>
      <c r="B635" s="66" t="s">
        <v>866</v>
      </c>
      <c r="C635" s="68"/>
      <c r="D635" s="59">
        <v>100</v>
      </c>
      <c r="E635" s="56">
        <v>1818</v>
      </c>
      <c r="F635" s="48">
        <v>236.2</v>
      </c>
      <c r="G635" s="83"/>
      <c r="H635" s="37">
        <f>E635*G635</f>
        <v>0</v>
      </c>
      <c r="I635" s="39">
        <f>G635*F635</f>
        <v>0</v>
      </c>
    </row>
    <row r="636" spans="1:9" s="1" customFormat="1" ht="34.5" customHeight="1">
      <c r="A636" s="19" t="s">
        <v>867</v>
      </c>
      <c r="B636" s="66" t="s">
        <v>868</v>
      </c>
      <c r="C636" s="68"/>
      <c r="D636" s="59">
        <v>500</v>
      </c>
      <c r="E636" s="56">
        <v>520</v>
      </c>
      <c r="F636" s="48">
        <v>67.599999999999994</v>
      </c>
      <c r="G636" s="83"/>
      <c r="H636" s="37">
        <f>E636*G636</f>
        <v>0</v>
      </c>
      <c r="I636" s="39">
        <f>G636*F636</f>
        <v>0</v>
      </c>
    </row>
    <row r="637" spans="1:9" s="1" customFormat="1" ht="34.5" customHeight="1">
      <c r="A637" s="19" t="s">
        <v>1102</v>
      </c>
      <c r="B637" s="66" t="s">
        <v>1103</v>
      </c>
      <c r="C637" s="68"/>
      <c r="D637" s="59">
        <v>1500</v>
      </c>
      <c r="E637" s="56">
        <v>718</v>
      </c>
      <c r="F637" s="48">
        <v>93.3</v>
      </c>
      <c r="G637" s="83"/>
      <c r="H637" s="37">
        <f>E637*G637</f>
        <v>0</v>
      </c>
      <c r="I637" s="39">
        <f>G637*F637</f>
        <v>0</v>
      </c>
    </row>
    <row r="638" spans="1:9" s="1" customFormat="1" ht="34.5" customHeight="1">
      <c r="A638" s="19" t="s">
        <v>1265</v>
      </c>
      <c r="B638" s="66" t="s">
        <v>1266</v>
      </c>
      <c r="C638" s="68"/>
      <c r="D638" s="59">
        <v>900</v>
      </c>
      <c r="E638" s="56">
        <v>110</v>
      </c>
      <c r="F638" s="48">
        <v>14.299999999999999</v>
      </c>
      <c r="G638" s="83"/>
      <c r="H638" s="37">
        <f>E638*G638</f>
        <v>0</v>
      </c>
      <c r="I638" s="39">
        <f>G638*F638</f>
        <v>0</v>
      </c>
    </row>
    <row r="639" spans="1:9" s="1" customFormat="1" ht="34.5" customHeight="1">
      <c r="A639" s="19" t="s">
        <v>884</v>
      </c>
      <c r="B639" s="66" t="s">
        <v>885</v>
      </c>
      <c r="C639" s="68"/>
      <c r="D639" s="59">
        <v>4000</v>
      </c>
      <c r="E639" s="56">
        <v>225</v>
      </c>
      <c r="F639" s="48">
        <v>29.3</v>
      </c>
      <c r="G639" s="83"/>
      <c r="H639" s="37">
        <f>E639*G639</f>
        <v>0</v>
      </c>
      <c r="I639" s="39">
        <f>G639*F639</f>
        <v>0</v>
      </c>
    </row>
    <row r="640" spans="1:9" s="1" customFormat="1" ht="34.5" customHeight="1">
      <c r="A640" s="19" t="s">
        <v>636</v>
      </c>
      <c r="B640" s="66" t="s">
        <v>637</v>
      </c>
      <c r="C640" s="68"/>
      <c r="D640" s="59">
        <v>200</v>
      </c>
      <c r="E640" s="56">
        <v>135</v>
      </c>
      <c r="F640" s="48">
        <v>17.600000000000001</v>
      </c>
      <c r="G640" s="83"/>
      <c r="H640" s="37">
        <f>E640*G640</f>
        <v>0</v>
      </c>
      <c r="I640" s="39">
        <f>G640*F640</f>
        <v>0</v>
      </c>
    </row>
    <row r="641" spans="1:9" s="1" customFormat="1" ht="34.5" customHeight="1">
      <c r="A641" s="19" t="s">
        <v>972</v>
      </c>
      <c r="B641" s="66" t="s">
        <v>973</v>
      </c>
      <c r="C641" s="68"/>
      <c r="D641" s="59">
        <v>25</v>
      </c>
      <c r="E641" s="56">
        <v>318</v>
      </c>
      <c r="F641" s="48">
        <v>41.300000000000004</v>
      </c>
      <c r="G641" s="83"/>
      <c r="H641" s="37">
        <f>E641*G641</f>
        <v>0</v>
      </c>
      <c r="I641" s="39">
        <f>G641*F641</f>
        <v>0</v>
      </c>
    </row>
    <row r="642" spans="1:9" s="1" customFormat="1" ht="34.5" customHeight="1">
      <c r="A642" s="19" t="s">
        <v>988</v>
      </c>
      <c r="B642" s="66" t="s">
        <v>989</v>
      </c>
      <c r="C642" s="68"/>
      <c r="D642" s="59">
        <v>1000</v>
      </c>
      <c r="E642" s="56">
        <v>458</v>
      </c>
      <c r="F642" s="48">
        <f>ROUNDUP(E642/7.7,1)</f>
        <v>59.5</v>
      </c>
      <c r="G642" s="83"/>
      <c r="H642" s="37">
        <f>E642*G642</f>
        <v>0</v>
      </c>
      <c r="I642" s="39">
        <f>G642*F642</f>
        <v>0</v>
      </c>
    </row>
    <row r="643" spans="1:9" s="1" customFormat="1" ht="34.5" customHeight="1">
      <c r="A643" s="19" t="s">
        <v>638</v>
      </c>
      <c r="B643" s="66" t="s">
        <v>639</v>
      </c>
      <c r="C643" s="68"/>
      <c r="D643" s="59">
        <v>1000</v>
      </c>
      <c r="E643" s="56">
        <v>310</v>
      </c>
      <c r="F643" s="48">
        <v>40.300000000000004</v>
      </c>
      <c r="G643" s="83"/>
      <c r="H643" s="37">
        <f>E643*G643</f>
        <v>0</v>
      </c>
      <c r="I643" s="39">
        <f>G643*F643</f>
        <v>0</v>
      </c>
    </row>
    <row r="644" spans="1:9" s="1" customFormat="1" ht="34.5" customHeight="1">
      <c r="A644" s="19" t="s">
        <v>659</v>
      </c>
      <c r="B644" s="66" t="s">
        <v>660</v>
      </c>
      <c r="C644" s="68"/>
      <c r="D644" s="59">
        <v>50</v>
      </c>
      <c r="E644" s="56">
        <v>300</v>
      </c>
      <c r="F644" s="48">
        <v>39</v>
      </c>
      <c r="G644" s="83"/>
      <c r="H644" s="37">
        <f>E644*G644</f>
        <v>0</v>
      </c>
      <c r="I644" s="39">
        <f>G644*F644</f>
        <v>0</v>
      </c>
    </row>
    <row r="645" spans="1:9" s="1" customFormat="1" ht="34.5" customHeight="1">
      <c r="A645" s="19" t="s">
        <v>38</v>
      </c>
      <c r="B645" s="66" t="s">
        <v>39</v>
      </c>
      <c r="C645" s="68"/>
      <c r="D645" s="59">
        <v>300</v>
      </c>
      <c r="E645" s="56">
        <v>270</v>
      </c>
      <c r="F645" s="48">
        <v>35.1</v>
      </c>
      <c r="G645" s="83"/>
      <c r="H645" s="37">
        <f>E645*G645</f>
        <v>0</v>
      </c>
      <c r="I645" s="39">
        <f>G645*F645</f>
        <v>0</v>
      </c>
    </row>
    <row r="646" spans="1:9" s="1" customFormat="1" ht="34.5" customHeight="1">
      <c r="A646" s="19" t="s">
        <v>162</v>
      </c>
      <c r="B646" s="66" t="s">
        <v>163</v>
      </c>
      <c r="C646" s="68"/>
      <c r="D646" s="59">
        <v>200</v>
      </c>
      <c r="E646" s="56">
        <v>260</v>
      </c>
      <c r="F646" s="48">
        <v>33.800000000000004</v>
      </c>
      <c r="G646" s="83"/>
      <c r="H646" s="37">
        <f>E646*G646</f>
        <v>0</v>
      </c>
      <c r="I646" s="39">
        <f>G646*F646</f>
        <v>0</v>
      </c>
    </row>
    <row r="647" spans="1:9" s="1" customFormat="1" ht="34.5" customHeight="1">
      <c r="A647" s="19" t="s">
        <v>145</v>
      </c>
      <c r="B647" s="66" t="s">
        <v>146</v>
      </c>
      <c r="C647" s="68"/>
      <c r="D647" s="59">
        <v>600</v>
      </c>
      <c r="E647" s="56">
        <v>100</v>
      </c>
      <c r="F647" s="48">
        <v>13</v>
      </c>
      <c r="G647" s="83"/>
      <c r="H647" s="37">
        <f>E647*G647</f>
        <v>0</v>
      </c>
      <c r="I647" s="39">
        <f>G647*F647</f>
        <v>0</v>
      </c>
    </row>
    <row r="648" spans="1:9" s="1" customFormat="1" ht="34.5" customHeight="1">
      <c r="A648" s="19" t="s">
        <v>165</v>
      </c>
      <c r="B648" s="66" t="s">
        <v>166</v>
      </c>
      <c r="C648" s="68"/>
      <c r="D648" s="59">
        <v>1000</v>
      </c>
      <c r="E648" s="56">
        <v>243</v>
      </c>
      <c r="F648" s="48">
        <v>31.6</v>
      </c>
      <c r="G648" s="83"/>
      <c r="H648" s="37">
        <f>E648*G648</f>
        <v>0</v>
      </c>
      <c r="I648" s="39">
        <f>G648*F648</f>
        <v>0</v>
      </c>
    </row>
    <row r="649" spans="1:9" s="1" customFormat="1" ht="34.5" customHeight="1">
      <c r="A649" s="19" t="s">
        <v>40</v>
      </c>
      <c r="B649" s="66" t="s">
        <v>41</v>
      </c>
      <c r="C649" s="68"/>
      <c r="D649" s="59">
        <v>900</v>
      </c>
      <c r="E649" s="56">
        <v>280</v>
      </c>
      <c r="F649" s="48">
        <v>36.4</v>
      </c>
      <c r="G649" s="83"/>
      <c r="H649" s="37">
        <f>E649*G649</f>
        <v>0</v>
      </c>
      <c r="I649" s="39">
        <f>G649*F649</f>
        <v>0</v>
      </c>
    </row>
    <row r="650" spans="1:9" s="1" customFormat="1" ht="34.5" customHeight="1">
      <c r="A650" s="19" t="s">
        <v>932</v>
      </c>
      <c r="B650" s="66" t="s">
        <v>933</v>
      </c>
      <c r="C650" s="68"/>
      <c r="D650" s="59">
        <v>500</v>
      </c>
      <c r="E650" s="56">
        <v>305</v>
      </c>
      <c r="F650" s="48">
        <f>ROUNDUP(E650/7.7,1)</f>
        <v>39.700000000000003</v>
      </c>
      <c r="G650" s="83"/>
      <c r="H650" s="37">
        <f>E650*G650</f>
        <v>0</v>
      </c>
      <c r="I650" s="39">
        <f>G650*F650</f>
        <v>0</v>
      </c>
    </row>
    <row r="651" spans="1:9" s="1" customFormat="1" ht="34.5" customHeight="1">
      <c r="A651" s="19" t="s">
        <v>151</v>
      </c>
      <c r="B651" s="66" t="s">
        <v>152</v>
      </c>
      <c r="C651" s="68"/>
      <c r="D651" s="59">
        <v>100</v>
      </c>
      <c r="E651" s="56">
        <v>180</v>
      </c>
      <c r="F651" s="48">
        <v>23.400000000000002</v>
      </c>
      <c r="G651" s="83"/>
      <c r="H651" s="37">
        <f>E651*G651</f>
        <v>0</v>
      </c>
      <c r="I651" s="39">
        <f>G651*F651</f>
        <v>0</v>
      </c>
    </row>
    <row r="652" spans="1:9" s="1" customFormat="1" ht="34.5" customHeight="1">
      <c r="A652" s="19" t="s">
        <v>886</v>
      </c>
      <c r="B652" s="66" t="s">
        <v>887</v>
      </c>
      <c r="C652" s="68"/>
      <c r="D652" s="59">
        <v>600</v>
      </c>
      <c r="E652" s="56">
        <v>535</v>
      </c>
      <c r="F652" s="48">
        <v>69.5</v>
      </c>
      <c r="G652" s="83"/>
      <c r="H652" s="37">
        <f>E652*G652</f>
        <v>0</v>
      </c>
      <c r="I652" s="39">
        <f>G652*F652</f>
        <v>0</v>
      </c>
    </row>
    <row r="653" spans="1:9" s="1" customFormat="1" ht="34.5" customHeight="1">
      <c r="A653" s="19" t="s">
        <v>1048</v>
      </c>
      <c r="B653" s="66" t="s">
        <v>1049</v>
      </c>
      <c r="C653" s="68"/>
      <c r="D653" s="59">
        <v>4000</v>
      </c>
      <c r="E653" s="56">
        <v>665</v>
      </c>
      <c r="F653" s="48">
        <v>86.399999999999991</v>
      </c>
      <c r="G653" s="83"/>
      <c r="H653" s="37">
        <f>E653*G653</f>
        <v>0</v>
      </c>
      <c r="I653" s="39">
        <f>G653*F653</f>
        <v>0</v>
      </c>
    </row>
    <row r="654" spans="1:9" s="1" customFormat="1" ht="34.5" customHeight="1">
      <c r="A654" s="19" t="s">
        <v>471</v>
      </c>
      <c r="B654" s="66" t="s">
        <v>472</v>
      </c>
      <c r="C654" s="68"/>
      <c r="D654" s="59">
        <v>2000</v>
      </c>
      <c r="E654" s="56">
        <v>177</v>
      </c>
      <c r="F654" s="48">
        <v>23</v>
      </c>
      <c r="G654" s="83"/>
      <c r="H654" s="37">
        <f>E654*G654</f>
        <v>0</v>
      </c>
      <c r="I654" s="39">
        <f>G654*F654</f>
        <v>0</v>
      </c>
    </row>
    <row r="655" spans="1:9" s="1" customFormat="1" ht="34.5" customHeight="1">
      <c r="A655" s="19" t="s">
        <v>1121</v>
      </c>
      <c r="B655" s="66" t="s">
        <v>1136</v>
      </c>
      <c r="C655" s="68"/>
      <c r="D655" s="59">
        <v>2000</v>
      </c>
      <c r="E655" s="56">
        <v>240</v>
      </c>
      <c r="F655" s="48">
        <v>31.200000000000003</v>
      </c>
      <c r="G655" s="83"/>
      <c r="H655" s="37">
        <f>E655*G655</f>
        <v>0</v>
      </c>
      <c r="I655" s="39">
        <f>G655*F655</f>
        <v>0</v>
      </c>
    </row>
    <row r="656" spans="1:9" s="1" customFormat="1" ht="34.5" customHeight="1">
      <c r="A656" s="19" t="s">
        <v>1122</v>
      </c>
      <c r="B656" s="66" t="s">
        <v>1137</v>
      </c>
      <c r="C656" s="68"/>
      <c r="D656" s="59">
        <v>1000</v>
      </c>
      <c r="E656" s="56">
        <v>240</v>
      </c>
      <c r="F656" s="48">
        <v>31.200000000000003</v>
      </c>
      <c r="G656" s="83"/>
      <c r="H656" s="37">
        <f>E656*G656</f>
        <v>0</v>
      </c>
      <c r="I656" s="39">
        <f>G656*F656</f>
        <v>0</v>
      </c>
    </row>
    <row r="657" spans="1:9" s="1" customFormat="1" ht="34.5" customHeight="1">
      <c r="A657" s="19" t="s">
        <v>1293</v>
      </c>
      <c r="B657" s="66" t="s">
        <v>1294</v>
      </c>
      <c r="C657" s="68"/>
      <c r="D657" s="59">
        <v>2000</v>
      </c>
      <c r="E657" s="56">
        <v>218</v>
      </c>
      <c r="F657" s="48">
        <v>28.400000000000002</v>
      </c>
      <c r="G657" s="83"/>
      <c r="H657" s="37">
        <f>E657*G657</f>
        <v>0</v>
      </c>
      <c r="I657" s="39">
        <f>G657*F657</f>
        <v>0</v>
      </c>
    </row>
    <row r="658" spans="1:9" s="1" customFormat="1" ht="34.5" customHeight="1">
      <c r="A658" s="19" t="s">
        <v>934</v>
      </c>
      <c r="B658" s="66" t="s">
        <v>935</v>
      </c>
      <c r="C658" s="68"/>
      <c r="D658" s="59">
        <v>200</v>
      </c>
      <c r="E658" s="56">
        <v>225</v>
      </c>
      <c r="F658" s="48">
        <v>29.3</v>
      </c>
      <c r="G658" s="83"/>
      <c r="H658" s="37">
        <f>E658*G658</f>
        <v>0</v>
      </c>
      <c r="I658" s="39">
        <f>G658*F658</f>
        <v>0</v>
      </c>
    </row>
    <row r="659" spans="1:9" s="1" customFormat="1" ht="34.5" customHeight="1">
      <c r="A659" s="19" t="s">
        <v>1363</v>
      </c>
      <c r="B659" s="66" t="s">
        <v>1364</v>
      </c>
      <c r="C659" s="68"/>
      <c r="D659" s="59">
        <v>1000</v>
      </c>
      <c r="E659" s="56">
        <v>133</v>
      </c>
      <c r="F659" s="48">
        <v>17.3</v>
      </c>
      <c r="G659" s="83"/>
      <c r="H659" s="37">
        <f>E659*G659</f>
        <v>0</v>
      </c>
      <c r="I659" s="39">
        <f>G659*F659</f>
        <v>0</v>
      </c>
    </row>
    <row r="660" spans="1:9" s="1" customFormat="1" ht="34.5" customHeight="1">
      <c r="A660" s="19" t="s">
        <v>1267</v>
      </c>
      <c r="B660" s="66" t="s">
        <v>1268</v>
      </c>
      <c r="C660" s="68"/>
      <c r="D660" s="59">
        <v>300</v>
      </c>
      <c r="E660" s="56">
        <v>595</v>
      </c>
      <c r="F660" s="48">
        <v>77.3</v>
      </c>
      <c r="G660" s="83"/>
      <c r="H660" s="37">
        <f>E660*G660</f>
        <v>0</v>
      </c>
      <c r="I660" s="39">
        <f>G660*F660</f>
        <v>0</v>
      </c>
    </row>
    <row r="661" spans="1:9" s="1" customFormat="1" ht="34.5" customHeight="1">
      <c r="A661" s="19" t="s">
        <v>1269</v>
      </c>
      <c r="B661" s="66" t="s">
        <v>1270</v>
      </c>
      <c r="C661" s="68"/>
      <c r="D661" s="59">
        <v>100</v>
      </c>
      <c r="E661" s="56">
        <v>452</v>
      </c>
      <c r="F661" s="48">
        <v>58.800000000000004</v>
      </c>
      <c r="G661" s="83"/>
      <c r="H661" s="37">
        <f>E661*G661</f>
        <v>0</v>
      </c>
      <c r="I661" s="39">
        <f>G661*F661</f>
        <v>0</v>
      </c>
    </row>
    <row r="662" spans="1:9" s="1" customFormat="1" ht="34.5" customHeight="1">
      <c r="A662" s="19" t="s">
        <v>665</v>
      </c>
      <c r="B662" s="66" t="s">
        <v>666</v>
      </c>
      <c r="C662" s="68"/>
      <c r="D662" s="59">
        <v>400</v>
      </c>
      <c r="E662" s="56">
        <v>405</v>
      </c>
      <c r="F662" s="48">
        <v>52.6</v>
      </c>
      <c r="G662" s="83"/>
      <c r="H662" s="37">
        <f>E662*G662</f>
        <v>0</v>
      </c>
      <c r="I662" s="39">
        <f>G662*F662</f>
        <v>0</v>
      </c>
    </row>
    <row r="663" spans="1:9" s="1" customFormat="1" ht="34.5" customHeight="1">
      <c r="A663" s="19" t="s">
        <v>1120</v>
      </c>
      <c r="B663" s="66" t="s">
        <v>1135</v>
      </c>
      <c r="C663" s="68"/>
      <c r="D663" s="59">
        <v>1000</v>
      </c>
      <c r="E663" s="56">
        <v>465</v>
      </c>
      <c r="F663" s="48">
        <v>60.4</v>
      </c>
      <c r="G663" s="83"/>
      <c r="H663" s="37">
        <f>E663*G663</f>
        <v>0</v>
      </c>
      <c r="I663" s="39">
        <f>G663*F663</f>
        <v>0</v>
      </c>
    </row>
    <row r="664" spans="1:9" s="1" customFormat="1" ht="34.5" customHeight="1">
      <c r="A664" s="19" t="s">
        <v>1361</v>
      </c>
      <c r="B664" s="66" t="s">
        <v>1362</v>
      </c>
      <c r="C664" s="68"/>
      <c r="D664" s="59">
        <v>980</v>
      </c>
      <c r="E664" s="56">
        <v>215</v>
      </c>
      <c r="F664" s="48">
        <v>28</v>
      </c>
      <c r="G664" s="83"/>
      <c r="H664" s="37">
        <f>E664*G664</f>
        <v>0</v>
      </c>
      <c r="I664" s="39">
        <f>G664*F664</f>
        <v>0</v>
      </c>
    </row>
    <row r="665" spans="1:9" s="1" customFormat="1" ht="34.5" customHeight="1">
      <c r="A665" s="19" t="s">
        <v>974</v>
      </c>
      <c r="B665" s="66" t="s">
        <v>975</v>
      </c>
      <c r="C665" s="68"/>
      <c r="D665" s="59">
        <v>200</v>
      </c>
      <c r="E665" s="56">
        <v>240</v>
      </c>
      <c r="F665" s="48">
        <v>31.200000000000003</v>
      </c>
      <c r="G665" s="83"/>
      <c r="H665" s="37">
        <f>E665*G665</f>
        <v>0</v>
      </c>
      <c r="I665" s="39">
        <f>G665*F665</f>
        <v>0</v>
      </c>
    </row>
    <row r="666" spans="1:9" s="1" customFormat="1" ht="34.5" customHeight="1">
      <c r="A666" s="19" t="s">
        <v>34</v>
      </c>
      <c r="B666" s="66" t="s">
        <v>35</v>
      </c>
      <c r="C666" s="68"/>
      <c r="D666" s="59">
        <v>185</v>
      </c>
      <c r="E666" s="56">
        <v>178</v>
      </c>
      <c r="F666" s="48">
        <v>23.200000000000003</v>
      </c>
      <c r="G666" s="83"/>
      <c r="H666" s="37">
        <f>E666*G666</f>
        <v>0</v>
      </c>
      <c r="I666" s="39">
        <f>G666*F666</f>
        <v>0</v>
      </c>
    </row>
    <row r="667" spans="1:9" s="1" customFormat="1" ht="34.5" customHeight="1">
      <c r="A667" s="19" t="s">
        <v>976</v>
      </c>
      <c r="B667" s="66" t="s">
        <v>977</v>
      </c>
      <c r="C667" s="68"/>
      <c r="D667" s="59">
        <v>1500</v>
      </c>
      <c r="E667" s="56">
        <v>223</v>
      </c>
      <c r="F667" s="48">
        <v>29</v>
      </c>
      <c r="G667" s="83"/>
      <c r="H667" s="37">
        <f>E667*G667</f>
        <v>0</v>
      </c>
      <c r="I667" s="39">
        <f>G667*F667</f>
        <v>0</v>
      </c>
    </row>
    <row r="668" spans="1:9" s="1" customFormat="1" ht="34.5" customHeight="1">
      <c r="A668" s="19" t="s">
        <v>36</v>
      </c>
      <c r="B668" s="66" t="s">
        <v>37</v>
      </c>
      <c r="C668" s="68"/>
      <c r="D668" s="59">
        <v>100</v>
      </c>
      <c r="E668" s="56">
        <v>185</v>
      </c>
      <c r="F668" s="48">
        <v>24.1</v>
      </c>
      <c r="G668" s="83"/>
      <c r="H668" s="37">
        <f>E668*G668</f>
        <v>0</v>
      </c>
      <c r="I668" s="39">
        <f>G668*F668</f>
        <v>0</v>
      </c>
    </row>
    <row r="669" spans="1:9" s="1" customFormat="1" ht="34.5" customHeight="1">
      <c r="A669" s="19" t="s">
        <v>1038</v>
      </c>
      <c r="B669" s="66" t="s">
        <v>1039</v>
      </c>
      <c r="C669" s="68"/>
      <c r="D669" s="59">
        <v>300</v>
      </c>
      <c r="E669" s="56">
        <v>210</v>
      </c>
      <c r="F669" s="48">
        <v>27.3</v>
      </c>
      <c r="G669" s="83"/>
      <c r="H669" s="37">
        <f>E669*G669</f>
        <v>0</v>
      </c>
      <c r="I669" s="39">
        <f>G669*F669</f>
        <v>0</v>
      </c>
    </row>
    <row r="670" spans="1:9" s="1" customFormat="1" ht="34.5" customHeight="1">
      <c r="A670" s="19" t="s">
        <v>1036</v>
      </c>
      <c r="B670" s="66" t="s">
        <v>1037</v>
      </c>
      <c r="C670" s="68"/>
      <c r="D670" s="59">
        <v>1500</v>
      </c>
      <c r="E670" s="56">
        <v>210</v>
      </c>
      <c r="F670" s="48">
        <v>27.3</v>
      </c>
      <c r="G670" s="83"/>
      <c r="H670" s="37">
        <f>E670*G670</f>
        <v>0</v>
      </c>
      <c r="I670" s="39">
        <f>G670*F670</f>
        <v>0</v>
      </c>
    </row>
    <row r="671" spans="1:9" s="1" customFormat="1" ht="34.5" customHeight="1">
      <c r="A671" s="19" t="s">
        <v>1034</v>
      </c>
      <c r="B671" s="66" t="s">
        <v>1035</v>
      </c>
      <c r="C671" s="68"/>
      <c r="D671" s="59">
        <v>800</v>
      </c>
      <c r="E671" s="56">
        <v>155</v>
      </c>
      <c r="F671" s="48">
        <v>20.200000000000003</v>
      </c>
      <c r="G671" s="83"/>
      <c r="H671" s="37">
        <f>E671*G671</f>
        <v>0</v>
      </c>
      <c r="I671" s="39">
        <f>G671*F671</f>
        <v>0</v>
      </c>
    </row>
    <row r="672" spans="1:9" s="1" customFormat="1" ht="34.5" customHeight="1">
      <c r="A672" s="19" t="s">
        <v>32</v>
      </c>
      <c r="B672" s="66" t="s">
        <v>33</v>
      </c>
      <c r="C672" s="68"/>
      <c r="D672" s="59">
        <v>2000</v>
      </c>
      <c r="E672" s="56">
        <v>168</v>
      </c>
      <c r="F672" s="48">
        <v>21.900000000000002</v>
      </c>
      <c r="G672" s="83"/>
      <c r="H672" s="37">
        <f>E672*G672</f>
        <v>0</v>
      </c>
      <c r="I672" s="39">
        <f>G672*F672</f>
        <v>0</v>
      </c>
    </row>
    <row r="673" spans="1:9" s="1" customFormat="1" ht="34.5" customHeight="1">
      <c r="A673" s="19" t="s">
        <v>28</v>
      </c>
      <c r="B673" s="66" t="s">
        <v>29</v>
      </c>
      <c r="C673" s="68"/>
      <c r="D673" s="59">
        <v>1000</v>
      </c>
      <c r="E673" s="56">
        <v>195</v>
      </c>
      <c r="F673" s="48">
        <v>25.400000000000002</v>
      </c>
      <c r="G673" s="83"/>
      <c r="H673" s="37">
        <f>E673*G673</f>
        <v>0</v>
      </c>
      <c r="I673" s="39">
        <f>G673*F673</f>
        <v>0</v>
      </c>
    </row>
    <row r="674" spans="1:9" s="1" customFormat="1" ht="34.5" customHeight="1">
      <c r="A674" s="19" t="s">
        <v>483</v>
      </c>
      <c r="B674" s="66" t="s">
        <v>484</v>
      </c>
      <c r="C674" s="68"/>
      <c r="D674" s="59">
        <v>200</v>
      </c>
      <c r="E674" s="56">
        <v>180</v>
      </c>
      <c r="F674" s="48">
        <v>23.400000000000002</v>
      </c>
      <c r="G674" s="83"/>
      <c r="H674" s="37">
        <f>E674*G674</f>
        <v>0</v>
      </c>
      <c r="I674" s="39">
        <f>G674*F674</f>
        <v>0</v>
      </c>
    </row>
    <row r="675" spans="1:9" s="1" customFormat="1" ht="34.5" customHeight="1">
      <c r="A675" s="19" t="s">
        <v>30</v>
      </c>
      <c r="B675" s="66" t="s">
        <v>31</v>
      </c>
      <c r="C675" s="68"/>
      <c r="D675" s="59">
        <v>1000</v>
      </c>
      <c r="E675" s="56">
        <v>183</v>
      </c>
      <c r="F675" s="48">
        <v>23.8</v>
      </c>
      <c r="G675" s="83"/>
      <c r="H675" s="37">
        <f>E675*G675</f>
        <v>0</v>
      </c>
      <c r="I675" s="39">
        <f>G675*F675</f>
        <v>0</v>
      </c>
    </row>
    <row r="676" spans="1:9" s="1" customFormat="1" ht="34.5" customHeight="1">
      <c r="A676" s="19" t="s">
        <v>155</v>
      </c>
      <c r="B676" s="66" t="s">
        <v>156</v>
      </c>
      <c r="C676" s="68"/>
      <c r="D676" s="59">
        <v>300</v>
      </c>
      <c r="E676" s="56">
        <v>180</v>
      </c>
      <c r="F676" s="48">
        <v>23.400000000000002</v>
      </c>
      <c r="G676" s="83"/>
      <c r="H676" s="37">
        <f>E676*G676</f>
        <v>0</v>
      </c>
      <c r="I676" s="39">
        <f>G676*F676</f>
        <v>0</v>
      </c>
    </row>
    <row r="677" spans="1:9" s="1" customFormat="1" ht="34.5" customHeight="1">
      <c r="A677" s="19" t="s">
        <v>514</v>
      </c>
      <c r="B677" s="66" t="s">
        <v>515</v>
      </c>
      <c r="C677" s="68"/>
      <c r="D677" s="59">
        <v>1000</v>
      </c>
      <c r="E677" s="56">
        <v>218</v>
      </c>
      <c r="F677" s="48">
        <v>28.400000000000002</v>
      </c>
      <c r="G677" s="83"/>
      <c r="H677" s="37">
        <f>E677*G677</f>
        <v>0</v>
      </c>
      <c r="I677" s="39">
        <f>G677*F677</f>
        <v>0</v>
      </c>
    </row>
    <row r="678" spans="1:9" s="1" customFormat="1" ht="34.5" customHeight="1">
      <c r="A678" s="19" t="s">
        <v>557</v>
      </c>
      <c r="B678" s="66" t="s">
        <v>558</v>
      </c>
      <c r="C678" s="68"/>
      <c r="D678" s="59">
        <v>2000</v>
      </c>
      <c r="E678" s="56">
        <v>218</v>
      </c>
      <c r="F678" s="48">
        <v>28.400000000000002</v>
      </c>
      <c r="G678" s="83"/>
      <c r="H678" s="37">
        <f>E678*G678</f>
        <v>0</v>
      </c>
      <c r="I678" s="39">
        <f>G678*F678</f>
        <v>0</v>
      </c>
    </row>
    <row r="679" spans="1:9" s="1" customFormat="1" ht="34.5" customHeight="1">
      <c r="A679" s="19" t="s">
        <v>367</v>
      </c>
      <c r="B679" s="66" t="s">
        <v>368</v>
      </c>
      <c r="C679" s="68"/>
      <c r="D679" s="59">
        <v>200</v>
      </c>
      <c r="E679" s="56">
        <v>195</v>
      </c>
      <c r="F679" s="48">
        <v>25.400000000000002</v>
      </c>
      <c r="G679" s="83"/>
      <c r="H679" s="37">
        <f>E679*G679</f>
        <v>0</v>
      </c>
      <c r="I679" s="39">
        <f>G679*F679</f>
        <v>0</v>
      </c>
    </row>
    <row r="680" spans="1:9" s="1" customFormat="1" ht="34.5" customHeight="1">
      <c r="A680" s="19" t="s">
        <v>990</v>
      </c>
      <c r="B680" s="66" t="s">
        <v>991</v>
      </c>
      <c r="C680" s="68"/>
      <c r="D680" s="59">
        <v>1000</v>
      </c>
      <c r="E680" s="56">
        <v>220</v>
      </c>
      <c r="F680" s="48">
        <v>28.6</v>
      </c>
      <c r="G680" s="83"/>
      <c r="H680" s="37">
        <f>E680*G680</f>
        <v>0</v>
      </c>
      <c r="I680" s="39">
        <f>G680*F680</f>
        <v>0</v>
      </c>
    </row>
    <row r="681" spans="1:9" s="1" customFormat="1" ht="34.5" customHeight="1">
      <c r="A681" s="19" t="s">
        <v>661</v>
      </c>
      <c r="B681" s="66" t="s">
        <v>662</v>
      </c>
      <c r="C681" s="68"/>
      <c r="D681" s="59">
        <v>400</v>
      </c>
      <c r="E681" s="56">
        <v>248</v>
      </c>
      <c r="F681" s="48">
        <v>32.300000000000004</v>
      </c>
      <c r="G681" s="83"/>
      <c r="H681" s="37">
        <f>E681*G681</f>
        <v>0</v>
      </c>
      <c r="I681" s="39">
        <f>G681*F681</f>
        <v>0</v>
      </c>
    </row>
    <row r="682" spans="1:9" s="1" customFormat="1" ht="34.5" customHeight="1">
      <c r="A682" s="19" t="s">
        <v>1289</v>
      </c>
      <c r="B682" s="66" t="s">
        <v>1290</v>
      </c>
      <c r="C682" s="68"/>
      <c r="D682" s="59">
        <v>2000</v>
      </c>
      <c r="E682" s="56">
        <v>214</v>
      </c>
      <c r="F682" s="48">
        <v>27.8</v>
      </c>
      <c r="G682" s="83"/>
      <c r="H682" s="37">
        <f>E682*G682</f>
        <v>0</v>
      </c>
      <c r="I682" s="39">
        <f>G682*F682</f>
        <v>0</v>
      </c>
    </row>
    <row r="683" spans="1:9" s="1" customFormat="1" ht="34.5" customHeight="1">
      <c r="A683" s="19" t="s">
        <v>1245</v>
      </c>
      <c r="B683" s="66" t="s">
        <v>598</v>
      </c>
      <c r="C683" s="68"/>
      <c r="D683" s="59">
        <v>3000</v>
      </c>
      <c r="E683" s="56">
        <v>335</v>
      </c>
      <c r="F683" s="48">
        <v>43.6</v>
      </c>
      <c r="G683" s="83"/>
      <c r="H683" s="37">
        <f>E683*G683</f>
        <v>0</v>
      </c>
      <c r="I683" s="39">
        <f>G683*F683</f>
        <v>0</v>
      </c>
    </row>
    <row r="684" spans="1:9" s="1" customFormat="1" ht="34.5" customHeight="1">
      <c r="A684" s="19" t="s">
        <v>663</v>
      </c>
      <c r="B684" s="66" t="s">
        <v>664</v>
      </c>
      <c r="C684" s="68"/>
      <c r="D684" s="59">
        <v>4000</v>
      </c>
      <c r="E684" s="56">
        <v>350</v>
      </c>
      <c r="F684" s="48">
        <v>45.5</v>
      </c>
      <c r="G684" s="83"/>
      <c r="H684" s="37">
        <f>E684*G684</f>
        <v>0</v>
      </c>
      <c r="I684" s="39">
        <f>G684*F684</f>
        <v>0</v>
      </c>
    </row>
    <row r="685" spans="1:9" s="1" customFormat="1" ht="34.5" customHeight="1">
      <c r="A685" s="19" t="s">
        <v>640</v>
      </c>
      <c r="B685" s="66" t="s">
        <v>641</v>
      </c>
      <c r="C685" s="68"/>
      <c r="D685" s="59">
        <v>2000</v>
      </c>
      <c r="E685" s="56">
        <v>335</v>
      </c>
      <c r="F685" s="48">
        <v>43.6</v>
      </c>
      <c r="G685" s="83"/>
      <c r="H685" s="37">
        <f>E685*G685</f>
        <v>0</v>
      </c>
      <c r="I685" s="39">
        <f>G685*F685</f>
        <v>0</v>
      </c>
    </row>
    <row r="686" spans="1:9" s="1" customFormat="1" ht="34.5" customHeight="1">
      <c r="A686" s="19" t="s">
        <v>986</v>
      </c>
      <c r="B686" s="66" t="s">
        <v>987</v>
      </c>
      <c r="C686" s="68"/>
      <c r="D686" s="59">
        <v>2000</v>
      </c>
      <c r="E686" s="56">
        <v>223</v>
      </c>
      <c r="F686" s="48">
        <v>29</v>
      </c>
      <c r="G686" s="83"/>
      <c r="H686" s="37">
        <f>E686*G686</f>
        <v>0</v>
      </c>
      <c r="I686" s="39">
        <f>G686*F686</f>
        <v>0</v>
      </c>
    </row>
    <row r="687" spans="1:9" s="1" customFormat="1" ht="34.5" customHeight="1">
      <c r="A687" s="19" t="s">
        <v>1243</v>
      </c>
      <c r="B687" s="66" t="s">
        <v>1244</v>
      </c>
      <c r="C687" s="68"/>
      <c r="D687" s="59">
        <v>1000</v>
      </c>
      <c r="E687" s="56">
        <v>408</v>
      </c>
      <c r="F687" s="48">
        <v>53</v>
      </c>
      <c r="G687" s="83"/>
      <c r="H687" s="37">
        <f>E687*G687</f>
        <v>0</v>
      </c>
      <c r="I687" s="39">
        <f>G687*F687</f>
        <v>0</v>
      </c>
    </row>
    <row r="688" spans="1:9" s="1" customFormat="1" ht="34.5" customHeight="1">
      <c r="A688" s="19" t="s">
        <v>1291</v>
      </c>
      <c r="B688" s="66" t="s">
        <v>1292</v>
      </c>
      <c r="C688" s="68"/>
      <c r="D688" s="59">
        <v>3000</v>
      </c>
      <c r="E688" s="56">
        <v>198</v>
      </c>
      <c r="F688" s="48">
        <v>25.8</v>
      </c>
      <c r="G688" s="83"/>
      <c r="H688" s="37">
        <f>E688*G688</f>
        <v>0</v>
      </c>
      <c r="I688" s="39">
        <f>G688*F688</f>
        <v>0</v>
      </c>
    </row>
    <row r="689" spans="1:9" s="1" customFormat="1" ht="34.5" customHeight="1">
      <c r="A689" s="19" t="s">
        <v>901</v>
      </c>
      <c r="B689" s="66" t="s">
        <v>902</v>
      </c>
      <c r="C689" s="68"/>
      <c r="D689" s="59">
        <v>5</v>
      </c>
      <c r="E689" s="56">
        <v>215</v>
      </c>
      <c r="F689" s="48">
        <v>28</v>
      </c>
      <c r="G689" s="83"/>
      <c r="H689" s="37">
        <f>E689*G689</f>
        <v>0</v>
      </c>
      <c r="I689" s="39">
        <f>G689*F689</f>
        <v>0</v>
      </c>
    </row>
  </sheetData>
  <autoFilter ref="A10:J689" xr:uid="{1304A7A2-D3EB-4DFD-9CB9-A40FC37D30C5}">
    <sortState xmlns:xlrd2="http://schemas.microsoft.com/office/spreadsheetml/2017/richdata2" ref="A11:I689">
      <sortCondition ref="B10:B689"/>
    </sortState>
  </autoFilter>
  <phoneticPr fontId="22" type="noConversion"/>
  <dataValidations count="1">
    <dataValidation operator="greaterThan" allowBlank="1" showInputMessage="1" showErrorMessage="1" promptTitle="Please input the Order Quantity" sqref="H4:H5 G8:H8 D2:H2 B4:C8 B10:H10 A1:A3 A9:A10 I1:XFD1048576" xr:uid="{B863FE9C-8372-4F59-A2DC-AE0C0B6F4733}"/>
  </dataValidations>
  <pageMargins left="0.70866141732283472" right="0.70866141732283472" top="0.74803149606299213" bottom="0.74803149606299213" header="0.31496062992125984" footer="0.31496062992125984"/>
  <pageSetup paperSize="9" scale="58" fitToHeight="0" orientation="portrait" horizontalDpi="4294967293" r:id="rId1"/>
  <headerFooter>
    <oddHeader>&amp;C&amp;G</oddHeader>
    <oddFooter>&amp;LSia Group Limited&amp;C&amp;P&amp;RConfidential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Ready Stock</vt:lpstr>
      <vt:lpstr>'Ready Stock'!Print_Area</vt:lpstr>
      <vt:lpstr>'Ready Stock'!Print_Titles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jeongwon Lee</dc:creator>
  <cp:lastModifiedBy>JEONGWON LEE</cp:lastModifiedBy>
  <cp:lastPrinted>2018-01-02T10:25:01Z</cp:lastPrinted>
  <dcterms:created xsi:type="dcterms:W3CDTF">2017-10-24T17:18:07Z</dcterms:created>
  <dcterms:modified xsi:type="dcterms:W3CDTF">2026-07-27T07:41:13Z</dcterms:modified>
</cp:coreProperties>
</file>