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BSpa\Downloads\"/>
    </mc:Choice>
  </mc:AlternateContent>
  <xr:revisionPtr revIDLastSave="0" documentId="13_ncr:1_{27F8869A-9F39-4F7A-AA84-D9E793D8BF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Sheet1!$B$7:$J$14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2" i="1"/>
  <c r="E13" i="1"/>
  <c r="E11" i="1"/>
  <c r="E10" i="1" l="1"/>
  <c r="J10" i="1"/>
  <c r="F9" i="1" l="1"/>
</calcChain>
</file>

<file path=xl/sharedStrings.xml><?xml version="1.0" encoding="utf-8"?>
<sst xmlns="http://schemas.openxmlformats.org/spreadsheetml/2006/main" count="36" uniqueCount="23">
  <si>
    <t>EAN</t>
  </si>
  <si>
    <t>Description</t>
  </si>
  <si>
    <t>Case Size</t>
  </si>
  <si>
    <t>Unit Cost</t>
  </si>
  <si>
    <t>Currency</t>
  </si>
  <si>
    <t>Lead time</t>
  </si>
  <si>
    <t>GBP</t>
  </si>
  <si>
    <t>Case Cost</t>
  </si>
  <si>
    <t>Cases per Pallet</t>
  </si>
  <si>
    <t>Gillette Series Conditioning Shave Gel 200Ml</t>
  </si>
  <si>
    <t>1 Week</t>
  </si>
  <si>
    <t>TBC</t>
  </si>
  <si>
    <t>Avl. Units</t>
  </si>
  <si>
    <t>2 Weeks</t>
  </si>
  <si>
    <t xml:space="preserve"> MOV 5000 GBP / Full Pallets</t>
  </si>
  <si>
    <t>1-2 Weeks</t>
  </si>
  <si>
    <t>Gillette Fusion5 Ultra Sensitive Shaving Gel 200ml</t>
  </si>
  <si>
    <t>Gillette Fusion Proglide Razor Blades 4 Cartridges</t>
  </si>
  <si>
    <t>Gillette Fusion Cart 4's x 10</t>
  </si>
  <si>
    <t>Gillette Mach3 Turbo Cart 8's x 10</t>
  </si>
  <si>
    <t>Gillette Mach3 Turbo Cart 4's x 10</t>
  </si>
  <si>
    <t>Gillette Venus Breeze 4's x 10</t>
  </si>
  <si>
    <t>Gillette Stock 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</si>
</sst>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_-[$£-809]* #,##0.00_-;\-[$£-809]* #,##0.00_-;_-[$£-809]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165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165FF"/>
        <bgColor rgb="FFA0E7E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2" fontId="0" fillId="0" borderId="0" xfId="0" applyNumberFormat="1"/>
    <xf numFmtId="12" fontId="0" fillId="2" borderId="0" xfId="0" applyNumberFormat="1" applyFill="1"/>
    <xf numFmtId="12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2" fontId="6" fillId="0" borderId="1" xfId="0" applyNumberFormat="1" applyFont="1" applyBorder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 3" xfId="1" xr:uid="{00000000-0005-0000-0000-000001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8A1FE"/>
      <color rgb="FF0165FF"/>
      <color rgb="FFC4F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44452</xdr:colOff>
      <xdr:row>0</xdr:row>
      <xdr:rowOff>0</xdr:rowOff>
    </xdr:from>
    <xdr:to>
      <xdr:col>2</xdr:col>
      <xdr:colOff>770112</xdr:colOff>
      <xdr:row>6</xdr:row>
      <xdr:rowOff>95325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730" y="0"/>
          <a:ext cx="1864105" cy="11952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100013</xdr:rowOff>
    </xdr:from>
    <xdr:to>
      <xdr:col>2</xdr:col>
      <xdr:colOff>266700</xdr:colOff>
      <xdr:row>24</xdr:row>
      <xdr:rowOff>142876</xdr:rowOff>
    </xdr:to>
    <xdr:pic>
      <xdr:nvPicPr>
        <xdr:cNvPr id="2" name="Picture 1" descr="Amazon.com: Gillette Fusion5 Ultra Sensitive Men's Shaving ...">
          <a:extLst>
            <a:ext uri="{FF2B5EF4-FFF2-40B4-BE49-F238E27FC236}">
              <a16:creationId xmlns:a16="http://schemas.microsoft.com/office/drawing/2014/main" id="{670EA355-9FB1-68A6-086B-636A886D6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8013"/>
          <a:ext cx="1671638" cy="1671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900114</xdr:colOff>
      <xdr:row>15</xdr:row>
      <xdr:rowOff>71437</xdr:rowOff>
    </xdr:from>
    <xdr:to>
      <xdr:col>2</xdr:col>
      <xdr:colOff>1400175</xdr:colOff>
      <xdr:row>24</xdr:row>
      <xdr:rowOff>161923</xdr:rowOff>
    </xdr:to>
    <xdr:pic>
      <xdr:nvPicPr>
        <xdr:cNvPr id="4" name="Picture 3" descr="Gillette Series Moisturizing Shave Gel, 200ml | Bestway">
          <a:extLst>
            <a:ext uri="{FF2B5EF4-FFF2-40B4-BE49-F238E27FC236}">
              <a16:creationId xmlns:a16="http://schemas.microsoft.com/office/drawing/2014/main" id="{AC790256-65C8-276E-2EC3-0E8A2DE15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2" y="3119437"/>
          <a:ext cx="1719261" cy="1719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819140</xdr:colOff>
      <xdr:row>14</xdr:row>
      <xdr:rowOff>147638</xdr:rowOff>
    </xdr:from>
    <xdr:to>
      <xdr:col>3</xdr:col>
      <xdr:colOff>38090</xdr:colOff>
      <xdr:row>26</xdr:row>
      <xdr:rowOff>85725</xdr:rowOff>
    </xdr:to>
    <xdr:pic>
      <xdr:nvPicPr>
        <xdr:cNvPr id="5" name="Picture 4" descr="Gillette Fusion Proglide Blades (4 blades)">
          <a:extLst>
            <a:ext uri="{FF2B5EF4-FFF2-40B4-BE49-F238E27FC236}">
              <a16:creationId xmlns:a16="http://schemas.microsoft.com/office/drawing/2014/main" id="{C51B2697-F298-4157-4BC4-685D31572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4078" y="3014663"/>
          <a:ext cx="2109787" cy="2109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2533642</xdr:colOff>
      <xdr:row>16</xdr:row>
      <xdr:rowOff>157164</xdr:rowOff>
    </xdr:from>
    <xdr:to>
      <xdr:col>4</xdr:col>
      <xdr:colOff>390516</xdr:colOff>
      <xdr:row>24</xdr:row>
      <xdr:rowOff>0</xdr:rowOff>
    </xdr:to>
    <xdr:pic>
      <xdr:nvPicPr>
        <xdr:cNvPr id="6" name="Picture 5" descr="Gillette Fusion5 Razor Refills For Men x4 | Bestway">
          <a:extLst>
            <a:ext uri="{FF2B5EF4-FFF2-40B4-BE49-F238E27FC236}">
              <a16:creationId xmlns:a16="http://schemas.microsoft.com/office/drawing/2014/main" id="{77C53478-EA33-18E2-958E-2554CB91D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8580" y="3386139"/>
          <a:ext cx="1290636" cy="1290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385756</xdr:colOff>
      <xdr:row>16</xdr:row>
      <xdr:rowOff>47625</xdr:rowOff>
    </xdr:from>
    <xdr:to>
      <xdr:col>7</xdr:col>
      <xdr:colOff>271455</xdr:colOff>
      <xdr:row>23</xdr:row>
      <xdr:rowOff>157162</xdr:rowOff>
    </xdr:to>
    <xdr:pic>
      <xdr:nvPicPr>
        <xdr:cNvPr id="7" name="Picture 6" descr="Gillette Mach 3 Turbo Razor Blades X8 - INCI Beauty">
          <a:extLst>
            <a:ext uri="{FF2B5EF4-FFF2-40B4-BE49-F238E27FC236}">
              <a16:creationId xmlns:a16="http://schemas.microsoft.com/office/drawing/2014/main" id="{C9737071-B2D0-760E-C12C-AAD6CB46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4456" y="3276600"/>
          <a:ext cx="1376362" cy="1376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233355</xdr:colOff>
      <xdr:row>16</xdr:row>
      <xdr:rowOff>23811</xdr:rowOff>
    </xdr:from>
    <xdr:to>
      <xdr:col>9</xdr:col>
      <xdr:colOff>442905</xdr:colOff>
      <xdr:row>23</xdr:row>
      <xdr:rowOff>138111</xdr:rowOff>
    </xdr:to>
    <xdr:pic>
      <xdr:nvPicPr>
        <xdr:cNvPr id="8" name="Picture 7" descr="Gillette Mach 3 Turbo 4 Pack">
          <a:extLst>
            <a:ext uri="{FF2B5EF4-FFF2-40B4-BE49-F238E27FC236}">
              <a16:creationId xmlns:a16="http://schemas.microsoft.com/office/drawing/2014/main" id="{2579292D-6D20-6F5B-B99B-9FDDF7AD2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18" y="3252786"/>
          <a:ext cx="1381125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380997</xdr:colOff>
      <xdr:row>15</xdr:row>
      <xdr:rowOff>147638</xdr:rowOff>
    </xdr:from>
    <xdr:to>
      <xdr:col>11</xdr:col>
      <xdr:colOff>628647</xdr:colOff>
      <xdr:row>23</xdr:row>
      <xdr:rowOff>138113</xdr:rowOff>
    </xdr:to>
    <xdr:pic>
      <xdr:nvPicPr>
        <xdr:cNvPr id="9" name="Picture 8" descr="Gillette Venus Breeze Comfortglide Razor Blades 4 Pack ...">
          <a:extLst>
            <a:ext uri="{FF2B5EF4-FFF2-40B4-BE49-F238E27FC236}">
              <a16:creationId xmlns:a16="http://schemas.microsoft.com/office/drawing/2014/main" id="{4BB1F168-5828-58B2-4C5F-6BD899B31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1935" y="3195638"/>
          <a:ext cx="1438275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showGridLines="0" tabSelected="1" zoomScaleNormal="100" workbookViewId="0">
      <selection activeCell="E12" sqref="E12"/>
    </sheetView>
  </sheetViews>
  <sheetFormatPr defaultColWidth="8.73046875" defaultRowHeight="14.25" x14ac:dyDescent="0.45"/>
  <cols>
    <col min="1" max="1" width="2.59765625" style="1" customWidth="1"/>
    <col min="2" max="2" width="17.06640625" style="5" bestFit="1" customWidth="1"/>
    <col min="3" max="3" width="40.46484375" style="1" bestFit="1" customWidth="1"/>
    <col min="4" max="4" width="7.59765625" style="2" bestFit="1" customWidth="1"/>
    <col min="5" max="5" width="8.265625" style="2" bestFit="1" customWidth="1"/>
    <col min="6" max="6" width="7.59765625" style="2" bestFit="1" customWidth="1"/>
    <col min="7" max="7" width="5" style="2" bestFit="1" customWidth="1"/>
    <col min="8" max="8" width="7.3984375" style="2" bestFit="1" customWidth="1"/>
    <col min="9" max="9" width="9" style="1" bestFit="1" customWidth="1"/>
    <col min="10" max="10" width="7.9296875" style="1" bestFit="1" customWidth="1"/>
    <col min="11" max="11" width="8.73046875" style="1"/>
    <col min="12" max="12" width="14.73046875" style="1" bestFit="1" customWidth="1"/>
    <col min="13" max="16384" width="8.73046875" style="1"/>
  </cols>
  <sheetData>
    <row r="1" spans="2:10" customFormat="1" x14ac:dyDescent="0.45">
      <c r="B1" s="4"/>
      <c r="E1" s="3"/>
      <c r="F1" s="3"/>
      <c r="G1" s="3"/>
      <c r="I1" s="1"/>
    </row>
    <row r="2" spans="2:10" customFormat="1" ht="10.15" customHeight="1" x14ac:dyDescent="0.45">
      <c r="B2" s="4"/>
      <c r="D2" s="3"/>
      <c r="E2" s="3"/>
      <c r="F2" s="3"/>
      <c r="G2" s="3"/>
      <c r="H2" s="3"/>
    </row>
    <row r="3" spans="2:10" customFormat="1" ht="28.9" customHeight="1" x14ac:dyDescent="0.45">
      <c r="B3" s="4"/>
      <c r="D3" s="17" t="s">
        <v>22</v>
      </c>
      <c r="E3" s="17"/>
      <c r="F3" s="17"/>
      <c r="G3" s="17"/>
      <c r="H3" s="17"/>
      <c r="I3" s="17"/>
    </row>
    <row r="4" spans="2:10" customFormat="1" x14ac:dyDescent="0.45">
      <c r="B4" s="4"/>
      <c r="D4" s="3"/>
      <c r="E4" s="3"/>
      <c r="F4" s="3"/>
      <c r="G4" s="3"/>
      <c r="H4" s="3"/>
    </row>
    <row r="5" spans="2:10" customFormat="1" x14ac:dyDescent="0.45">
      <c r="B5" s="4"/>
      <c r="D5" s="16" t="s">
        <v>14</v>
      </c>
      <c r="E5" s="16"/>
      <c r="F5" s="16"/>
      <c r="G5" s="16"/>
      <c r="H5" s="16"/>
    </row>
    <row r="6" spans="2:10" customFormat="1" ht="4.9000000000000004" customHeight="1" x14ac:dyDescent="0.45">
      <c r="B6" s="4"/>
      <c r="D6" s="3"/>
      <c r="E6" s="3"/>
      <c r="F6" s="3"/>
      <c r="G6" s="3"/>
      <c r="H6" s="3"/>
    </row>
    <row r="7" spans="2:10" s="3" customFormat="1" ht="39.4" x14ac:dyDescent="0.45">
      <c r="B7" s="6" t="s">
        <v>0</v>
      </c>
      <c r="C7" s="7" t="s">
        <v>1</v>
      </c>
      <c r="D7" s="8" t="s">
        <v>2</v>
      </c>
      <c r="E7" s="9" t="s">
        <v>7</v>
      </c>
      <c r="F7" s="7" t="s">
        <v>3</v>
      </c>
      <c r="G7" s="10" t="s">
        <v>8</v>
      </c>
      <c r="H7" s="7" t="s">
        <v>4</v>
      </c>
      <c r="I7" s="7" t="s">
        <v>5</v>
      </c>
      <c r="J7" s="10" t="s">
        <v>12</v>
      </c>
    </row>
    <row r="8" spans="2:10" x14ac:dyDescent="0.45">
      <c r="B8" s="15">
        <v>7702018464692</v>
      </c>
      <c r="C8" s="11" t="s">
        <v>16</v>
      </c>
      <c r="D8" s="12">
        <v>6</v>
      </c>
      <c r="E8" s="14">
        <v>8.4</v>
      </c>
      <c r="F8" s="14">
        <v>1.4000000000000001</v>
      </c>
      <c r="G8" s="13">
        <v>434</v>
      </c>
      <c r="H8" s="13" t="s">
        <v>6</v>
      </c>
      <c r="I8" s="13" t="s">
        <v>15</v>
      </c>
      <c r="J8" s="13">
        <v>5208</v>
      </c>
    </row>
    <row r="9" spans="2:10" x14ac:dyDescent="0.45">
      <c r="B9" s="15">
        <v>7702018980833</v>
      </c>
      <c r="C9" s="11" t="s">
        <v>9</v>
      </c>
      <c r="D9" s="12">
        <v>6</v>
      </c>
      <c r="E9" s="14">
        <v>6.6</v>
      </c>
      <c r="F9" s="14">
        <f>E9/D9</f>
        <v>1.0999999999999999</v>
      </c>
      <c r="G9" s="13">
        <v>434</v>
      </c>
      <c r="H9" s="13" t="s">
        <v>6</v>
      </c>
      <c r="I9" s="13" t="s">
        <v>10</v>
      </c>
      <c r="J9" s="13">
        <v>1026</v>
      </c>
    </row>
    <row r="10" spans="2:10" x14ac:dyDescent="0.45">
      <c r="B10" s="15">
        <v>7702018263844</v>
      </c>
      <c r="C10" s="11" t="s">
        <v>17</v>
      </c>
      <c r="D10" s="12">
        <v>10</v>
      </c>
      <c r="E10" s="14">
        <f>F10*D10</f>
        <v>76.100000000000009</v>
      </c>
      <c r="F10" s="14">
        <v>7.61</v>
      </c>
      <c r="G10" s="13">
        <v>400</v>
      </c>
      <c r="H10" s="13" t="s">
        <v>6</v>
      </c>
      <c r="I10" s="13" t="s">
        <v>10</v>
      </c>
      <c r="J10" s="13">
        <f>1990-800-500</f>
        <v>690</v>
      </c>
    </row>
    <row r="11" spans="2:10" x14ac:dyDescent="0.45">
      <c r="B11" s="15">
        <v>7702018851294</v>
      </c>
      <c r="C11" s="11" t="s">
        <v>18</v>
      </c>
      <c r="D11" s="12">
        <v>10</v>
      </c>
      <c r="E11" s="14">
        <f>F11*D11</f>
        <v>71.2</v>
      </c>
      <c r="F11" s="14">
        <v>7.12</v>
      </c>
      <c r="G11" s="13" t="s">
        <v>11</v>
      </c>
      <c r="H11" s="13" t="s">
        <v>6</v>
      </c>
      <c r="I11" s="13" t="s">
        <v>13</v>
      </c>
      <c r="J11" s="13">
        <v>1000</v>
      </c>
    </row>
    <row r="12" spans="2:10" x14ac:dyDescent="0.45">
      <c r="B12" s="15">
        <v>3014260274924</v>
      </c>
      <c r="C12" s="11" t="s">
        <v>19</v>
      </c>
      <c r="D12" s="12">
        <v>10</v>
      </c>
      <c r="E12" s="14">
        <f t="shared" ref="E12:E14" si="0">F12*D12</f>
        <v>121.19999999999999</v>
      </c>
      <c r="F12" s="14">
        <v>12.12</v>
      </c>
      <c r="G12" s="13" t="s">
        <v>11</v>
      </c>
      <c r="H12" s="13" t="s">
        <v>6</v>
      </c>
      <c r="I12" s="13" t="s">
        <v>13</v>
      </c>
      <c r="J12" s="13">
        <v>1000</v>
      </c>
    </row>
    <row r="13" spans="2:10" x14ac:dyDescent="0.45">
      <c r="B13" s="15">
        <v>7702018263813</v>
      </c>
      <c r="C13" s="11" t="s">
        <v>20</v>
      </c>
      <c r="D13" s="12">
        <v>10</v>
      </c>
      <c r="E13" s="14">
        <f t="shared" si="0"/>
        <v>64</v>
      </c>
      <c r="F13" s="14">
        <v>6.4</v>
      </c>
      <c r="G13" s="13" t="s">
        <v>11</v>
      </c>
      <c r="H13" s="13" t="s">
        <v>6</v>
      </c>
      <c r="I13" s="13" t="s">
        <v>13</v>
      </c>
      <c r="J13" s="13">
        <v>1000</v>
      </c>
    </row>
    <row r="14" spans="2:10" x14ac:dyDescent="0.45">
      <c r="B14" s="15">
        <v>7702018886364</v>
      </c>
      <c r="C14" s="11" t="s">
        <v>21</v>
      </c>
      <c r="D14" s="12">
        <v>10</v>
      </c>
      <c r="E14" s="14">
        <f t="shared" si="0"/>
        <v>60.7</v>
      </c>
      <c r="F14" s="14">
        <v>6.07</v>
      </c>
      <c r="G14" s="13" t="s">
        <v>11</v>
      </c>
      <c r="H14" s="13" t="s">
        <v>6</v>
      </c>
      <c r="I14" s="13" t="s">
        <v>13</v>
      </c>
      <c r="J14" s="13">
        <v>1000</v>
      </c>
    </row>
  </sheetData>
  <mergeCells count="2">
    <mergeCell ref="D5:H5"/>
    <mergeCell ref="D3:I3"/>
  </mergeCells>
  <phoneticPr fontId="2" type="noConversion"/>
  <conditionalFormatting sqref="B7">
    <cfRule type="duplicateValues" dxfId="9" priority="241"/>
  </conditionalFormatting>
  <conditionalFormatting sqref="B8:B14">
    <cfRule type="duplicateValues" dxfId="8" priority="305"/>
  </conditionalFormatting>
  <conditionalFormatting sqref="D7">
    <cfRule type="duplicateValues" dxfId="7" priority="243"/>
  </conditionalFormatting>
  <conditionalFormatting sqref="E7 C7">
    <cfRule type="duplicateValues" dxfId="6" priority="244"/>
  </conditionalFormatting>
  <conditionalFormatting sqref="F7">
    <cfRule type="duplicateValues" dxfId="5" priority="246"/>
  </conditionalFormatting>
  <conditionalFormatting sqref="G7">
    <cfRule type="duplicateValues" dxfId="4" priority="247"/>
  </conditionalFormatting>
  <conditionalFormatting sqref="G7:H7">
    <cfRule type="duplicateValues" dxfId="3" priority="248"/>
  </conditionalFormatting>
  <conditionalFormatting sqref="H7:I7">
    <cfRule type="duplicateValues" dxfId="2" priority="249"/>
  </conditionalFormatting>
  <conditionalFormatting sqref="J7">
    <cfRule type="duplicateValues" dxfId="1" priority="250"/>
    <cfRule type="duplicateValues" dxfId="0" priority="251"/>
  </conditionalFormatting>
  <printOptions horizont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Paresh Lalwani</dc:creator>
  <cp:keywords/>
  <dc:description/>
  <cp:lastModifiedBy>Paresh Lalwani</cp:lastModifiedBy>
  <cp:revision/>
  <dcterms:created xsi:type="dcterms:W3CDTF">2023-08-08T12:47:42Z</dcterms:created>
  <dcterms:modified xsi:type="dcterms:W3CDTF">2026-07-28T08:41:50Z</dcterms:modified>
  <cp:category/>
  <cp:contentStatus/>
</cp:coreProperties>
</file>